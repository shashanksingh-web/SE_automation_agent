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Alignment vs Config v3" sheetId="1" state="visible" r:id="rId3"/>
    <sheet name="Overview" sheetId="2" state="visible" r:id="rId4"/>
    <sheet name="1. Territory Clustering" sheetId="3" state="visible" r:id="rId5"/>
    <sheet name="2. Cumulative BO Scoring" sheetId="4" state="visible" r:id="rId6"/>
    <sheet name="3. Route Selection" sheetId="5" state="visible" r:id="rId7"/>
    <sheet name="4. Distance vs Output" sheetId="6" state="visible" r:id="rId8"/>
    <sheet name="5. Constraints" sheetId="7" state="visible" r:id="rId9"/>
    <sheet name="6. Technical Stack" sheetId="8" state="visible" r:id="rId10"/>
    <sheet name="7. Illustrative Example" sheetId="9" state="visible" r:id="rId11"/>
    <sheet name="8. Evaluation Metrics" sheetId="10" state="visible" r:id="rId12"/>
    <sheet name="9. Edge Cases" sheetId="11" state="visible" r:id="rId13"/>
    <sheet name="10. Exceptional DC Routing" sheetId="12" state="visible" r:id="rId14"/>
    <sheet name="11. Route Distinction Rule"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<sst xmlns="http://schemas.openxmlformats.org/spreadsheetml/2006/main" count="536" uniqueCount="480">
  <si>
    <t xml:space="preserve">Alignment Check vs BO_Configuration_Sheet_v3.xlsx (authoritative config)</t>
  </si>
  <si>
    <t xml:space="preserve">BO_Configuration_Sheet_v3 is the authoritative, business-confirmed parameter source for the Routing Agent (its "Routing Agent - Parameters/Guardrails/Decision Log" sheets, v5 FINAL, all 20 open items closed). Cross-checking it against this workbook surfaced several places where this workbook used illustrative assumptions that turn out to be WRONG or INCOMPLETE relative to the confirmed spec, plus one direct conflict that needs a decision rather than a silent fix. Corrections below have been applied to the relevant sheets; the one conflict is flagged, not auto-resolved.</t>
  </si>
  <si>
    <t xml:space="preserve">Legend</t>
  </si>
  <si>
    <t xml:space="preserve">Status</t>
  </si>
  <si>
    <t xml:space="preserve">Meaning</t>
  </si>
  <si>
    <t xml:space="preserve">Correction applied</t>
  </si>
  <si>
    <t xml:space="preserve">This workbook stated something the authoritative config contradicts — fixed in place.</t>
  </si>
  <si>
    <t xml:space="preserve">Missing — added</t>
  </si>
  <si>
    <t xml:space="preserve">The authoritative config has a hard rule this workbook never captured — added.</t>
  </si>
  <si>
    <t xml:space="preserve">Conflict — flagged, not resolved</t>
  </si>
  <si>
    <t xml:space="preserve">This workbook's own proposal (built earlier in this session) contradicts a confirmed rule — flagged for your decision, not silently overridden.</t>
  </si>
  <si>
    <t xml:space="preserve">Already consistent</t>
  </si>
  <si>
    <t xml:space="preserve">This workbook already matched the authoritative config; no change made.</t>
  </si>
  <si>
    <t xml:space="preserve">Corrections Applied</t>
  </si>
  <si>
    <t xml:space="preserve">Item</t>
  </si>
  <si>
    <t xml:space="preserve">This Workbook Said</t>
  </si>
  <si>
    <t xml:space="preserve">Authoritative Config Says</t>
  </si>
  <si>
    <t xml:space="preserve">Sheet(s) Fixed</t>
  </si>
  <si>
    <t xml:space="preserve">Hard vs advisory constraint</t>
  </si>
  <si>
    <t xml:space="preserve">This workbook: 80km AND 180min treated together as a combined "hard ceiling."</t>
  </si>
  <si>
    <t xml:space="preserve">Only travel TIME ≤ 180 min is a hard cap (R1.2, GR-13). Distance (80km/day, 1,600km/month) is ADVISORY ONLY — tracked and shown, but NEVER blocks a route or rejects a plan (R1.5, R1.6, GR-13, OQ-4/13). This was previously documented backwards as a distance floor and has since been corrected.</t>
  </si>
  <si>
    <t xml:space="preserve">5. Constraints, 3. Route Selection</t>
  </si>
  <si>
    <t xml:space="preserve">Missing hard caps</t>
  </si>
  <si>
    <t xml:space="preserve">This workbook had no Field_Minutes_Available or task-count cap.</t>
  </si>
  <si>
    <t xml:space="preserve">Field_Minutes_Available = 420 min (7hr field day) is a HARD cap (R1.1, GR-13). Max 5 tasks/day is a HARD ceiling at output, though the achievable number shrinks as real travel time grows toward the 180-min ceiling (R1.4, R1.7, GR-11, GR-R4).</t>
  </si>
  <si>
    <t xml:space="preserve">5. Constraints</t>
  </si>
  <si>
    <t xml:space="preserve">Distance calculation method</t>
  </si>
  <si>
    <t xml:space="preserve">This workbook: "Haversine as proxy, refined with OR-Tools distance matrix."</t>
  </si>
  <si>
    <t xml:space="preserve">Haversine × 1.4 circuity factor is the LOCKED PRIMARY per-leg method (R3.1, R3.2). google_distance (whole-shift total) is used only for post-shift QA reconciliation, never a build gate (R0.5, GR-R11).</t>
  </si>
  <si>
    <t xml:space="preserve">6. Technical Stack</t>
  </si>
  <si>
    <t xml:space="preserve">Route model naming/count</t>
  </si>
  <si>
    <t xml:space="preserve">This workbook: "Route 1/2/3" (Efficiency-Balanced / Score-Max / Distance-Min).</t>
  </si>
  <si>
    <t xml:space="preserve">Exactly 3 algorithm-generated models required (R5.1), officially named: Model 1 Priority-Max (OR-Tools Orienteering/Prize-Collecting, no distance cap) / Model 2 Distance-Min-Efficiency (Nearest-Neighbor + 2-opt over Haversine) / Model 3 Balanced-Weighted (Clarke-Wright + 2-opt, alpha-blended 0.4-0.8, default 0.6, alpha derived per-node from historical travel time). Plus an optional Model 4 SE Self-Override (validation-only pass-through).</t>
  </si>
  <si>
    <t xml:space="preserve">3. Route Selection, 7. Illustrative Example</t>
  </si>
  <si>
    <t xml:space="preserve">Missing Rules — Added</t>
  </si>
  <si>
    <t xml:space="preserve">Rule</t>
  </si>
  <si>
    <t xml:space="preserve">Detail</t>
  </si>
  <si>
    <t xml:space="preserve">Sheet(s) Updated</t>
  </si>
  <si>
    <t xml:space="preserve">Geo-completeness filter</t>
  </si>
  <si>
    <t xml:space="preserve">DCs with null/invalid coordinates must be excluded pre-generation (GR-R1) — not previously a stated rule here.</t>
  </si>
  <si>
    <t xml:space="preserve">9. Edge Cases</t>
  </si>
  <si>
    <t xml:space="preserve">Legal-hold exclusion</t>
  </si>
  <si>
    <t xml:space="preserve">Legal_Hold=TRUE DCs are excluded from every list/output, no exceptions (GR-03, GR-R2, GR-14) — a double-checked, absolute block.</t>
  </si>
  <si>
    <t xml:space="preserve">Trim procedure on time-ceiling breach</t>
  </si>
  <si>
    <t xml:space="preserve">GR-R5: if a route would exceed 180 min given the pool's geography, trim the farthest/lowest-priority stop (ascending Priority_Score) rather than force an over-cap plan.</t>
  </si>
  <si>
    <t xml:space="preserve">9. Edge Cases, 3. Route Selection (see conflict note below)</t>
  </si>
  <si>
    <t xml:space="preserve">Determinism &amp; logging</t>
  </si>
  <si>
    <t xml:space="preserve">Same inputs must always produce the same 3 plans (GR-R9/GR-16); every generation run must be logged with inputs/outputs/selection (GR-R10/GR-17).</t>
  </si>
  <si>
    <t xml:space="preserve">9. Edge Cases, 3. Route Selection</t>
  </si>
  <si>
    <t xml:space="preserve">Purpose preservation</t>
  </si>
  <si>
    <t xml:space="preserve">The Routing Agent must never alter a DC's Priority_Score or Matched_Purposes computed upstream — sequencing only (R2.2, GR-R7).</t>
  </si>
  <si>
    <t xml:space="preserve">Conflict — Flagged for Your Decision (Not Auto-Resolved)</t>
  </si>
  <si>
    <t xml:space="preserve">Sheet "10. Exceptional DC Routing" (built earlier in this session, at your request) proposes: when a DC's own required travel exceeds the standard ceiling, don't truncate — run the FULL BO-tier-priority route uncapped, flagging the overage for monitoring only.</t>
  </si>
  <si>
    <t xml:space="preserve">The authoritative config's GR-R5 says something different: when a route would exceed the 180-min travel-time ceiling, TRIM stops by ascending Priority_Score (drop the lowest-priority ones first) until it fits — the route is never allowed to exceed the ceiling. Note GR-R5 already protects top-tier BOs the same way our BO Rule intended (lowest priority gets cut first), just via trimming rather than extending the day.</t>
  </si>
  <si>
    <t xml:space="preserve">I've added a callout directly on sheet "10. Exceptional DC Routing" explaining this conflict rather than silently rewriting your proposal — this is a real business decision (extend the day vs. drop lower-tier BOs) not a factual correction, so it needs your call, not mine.</t>
  </si>
  <si>
    <t xml:space="preserve">Open Items From the Authoritative Config (Worth Knowing)</t>
  </si>
  <si>
    <t xml:space="preserve">Open Item</t>
  </si>
  <si>
    <t xml:space="preserve">Avg_Speed_Kmph — UNDEFINED</t>
  </si>
  <si>
    <t xml:space="preserve">Travel time = Distance ÷ Avg_Speed_Kmph, but the speed value itself is still open (R3.2: "FILL IN, e.g. 25-30 km/h"). This is flagged as the single most important undefined number in the routing config. All "km" figures used in this workbook's worked examples are therefore illustrative proxies, not yet convertible to the real 180-min time ceiling with confidence.</t>
  </si>
  <si>
    <t xml:space="preserve">Distance-mismatch threshold — UNDEFINED</t>
  </si>
  <si>
    <t xml:space="preserve">GR-R11 reconciles Haversine×1.4 against real google_distance post-shift, but the acceptable gap threshold is still "[FILL IN, e.g. 20%]".</t>
  </si>
  <si>
    <t xml:space="preserve">Beat Planning &amp; Routing Agent — Cluster-Based Model</t>
  </si>
  <si>
    <t xml:space="preserve">Pathik SE Daily Planning | Field Sales Automation</t>
  </si>
  <si>
    <t xml:space="preserve">1. Objective</t>
  </si>
  <si>
    <t xml:space="preserve">The Routing Agent is responsible for converting a Sales Executive's (SE's) assigned universe of outlets/farmers (Business Outlets — BOs) into a daily, executable "beat" — an ordered visit sequence that is geographically feasible and commercially optimal. The core design goal is to answer one question every day, for every SE: "Given a fixed travel budget, which set and sequence of BO visits will generate the highest possible business outcome?"</t>
  </si>
  <si>
    <t xml:space="preserve">This workbook documents the Cluster-Based Model, which forms the first stage of the Routing Agent inside the broader six-agent Pathik SE pipeline: Data Normalization -&gt; BO Scoring -&gt; Constraint/Feasibility -&gt; Plan Generation (Routing) -&gt; Orchestrator -&gt; Feedback.</t>
  </si>
  <si>
    <t xml:space="preserve">2. Approach Summary</t>
  </si>
  <si>
    <t xml:space="preserve">The model works in three sequential stages:</t>
  </si>
  <si>
    <t xml:space="preserve">Stage</t>
  </si>
  <si>
    <t xml:space="preserve">Name</t>
  </si>
  <si>
    <t xml:space="preserve">Description</t>
  </si>
  <si>
    <t xml:space="preserve">Stage 1</t>
  </si>
  <si>
    <t xml:space="preserve">Territory Clustering</t>
  </si>
  <si>
    <t xml:space="preserve">Partition an SE's geography into clusters uniform in density (BOs per unit area) and distance (spatial spread), so no cluster is disproportionately sparse or dense.</t>
  </si>
  <si>
    <t xml:space="preserve">Stage 2</t>
  </si>
  <si>
    <t xml:space="preserve">Cumulative BO Scoring per Cluster</t>
  </si>
  <si>
    <t xml:space="preserve">Aggregate individual BO-level scores (BO1-BO5 tiering) within each cluster into a single cumulative score representing the commercial value of covering that cluster.</t>
  </si>
  <si>
    <t xml:space="preserve">Stage 3</t>
  </si>
  <si>
    <t xml:space="preserve">Route Selection</t>
  </si>
  <si>
    <t xml:space="preserve">Among feasible clusters/paths within the daily travel budget, select and sequence the route that maximizes cumulative BO score, rather than simply minimizing distance.</t>
  </si>
  <si>
    <t xml:space="preserve">This inverts the traditional TSP/VRP framing (minimize distance subject to visiting all nodes) into a Prize-Collecting / Orienteering framing (maximize collected value subject to a distance/time budget) — since an SE cannot realistically cover 100% of their territory every day.</t>
  </si>
  <si>
    <t xml:space="preserve">This workbook describes Stages 1-3 of the Routing/Plan Generation Agent within the Pathik SE Daily Planning pipeline. Downstream, the Orchestrator Agent sequences this output with the day's operational schedule, and the Feedback Agent uses realized visit/order data to update recency and potential weights for the next cycle.</t>
  </si>
  <si>
    <t xml:space="preserve">Stage 1: Territory Clustering (Uniform Density-Distance Partitioning)</t>
  </si>
  <si>
    <t xml:space="preserve">3.1 Why Cluster First</t>
  </si>
  <si>
    <t xml:space="preserve">Sales territories are rarely uniform — some pockets have a high concentration of BOs (villages, mandis, clusters of retail points) while others are sparse and spread out. If beats are drawn purely on raw geographic proximity, dense pockets get over-visited relative to their travel cost, and sparse pockets get ignored because they look "expensive" in isolation. Clustering first normalizes this, so every cluster represents a roughly comparable unit of coverage effort.</t>
  </si>
  <si>
    <t xml:space="preserve">3.2 Method</t>
  </si>
  <si>
    <t xml:space="preserve">Element</t>
  </si>
  <si>
    <t xml:space="preserve">Inputs</t>
  </si>
  <si>
    <t xml:space="preserve">BO lat/long, historical visit frequency, BO tier (BO1-BO5), last-mile road distance (Haversine as proxy, refined with OR-Tools distance matrix where available).</t>
  </si>
  <si>
    <t xml:space="preserve">Density normalization</t>
  </si>
  <si>
    <t xml:space="preserve">Cluster boundaries are drawn so each cluster contains a comparable count of BOs per km² — dense clusters are geographically small; sparse clusters are geographically larger, until BO-count-per-cluster converges within a target band.</t>
  </si>
  <si>
    <t xml:space="preserve">Distance normalization</t>
  </si>
  <si>
    <t xml:space="preserve">Max intra-cluster travel distance is capped so no single cluster alone breaches a meaningful fraction of the daily travel budget (e.g., no more than ~40-50% of the 80km budget just to traverse internally).</t>
  </si>
  <si>
    <t xml:space="preserve">Algorithm candidates</t>
  </si>
  <si>
    <t xml:space="preserve">Density-aware k-means / DBSCAN variants for the initial partition, refined using the Haversine distance matrix; boundaries re-validated against the OR-Tools distance matrix to correct for road-network deviation from straight-line distance.</t>
  </si>
  <si>
    <t xml:space="preserve">3.3 Output of This Stage</t>
  </si>
  <si>
    <t xml:space="preserve">A set of geographically contiguous, density-balanced clusters, each tagged with:</t>
  </si>
  <si>
    <t xml:space="preserve">Attribute</t>
  </si>
  <si>
    <t xml:space="preserve">BO count and mix</t>
  </si>
  <si>
    <t xml:space="preserve">BO1-BO5 distribution within the cluster</t>
  </si>
  <si>
    <t xml:space="preserve">Centroid and spread</t>
  </si>
  <si>
    <t xml:space="preserve">Cluster centroid coordinates and spatial radius</t>
  </si>
  <si>
    <t xml:space="preserve">Intra-cluster travel cost</t>
  </si>
  <si>
    <t xml:space="preserve">Estimated cost to traverse all BOs within the cluster</t>
  </si>
  <si>
    <t xml:space="preserve">Stage 2: Cumulative BO Score per Cluster</t>
  </si>
  <si>
    <t xml:space="preserve">Each BO carries an individual score derived from the BO Scoring Agent (BO1 = highest priority/value tier, down to BO5). For every cluster C, a Cumulative BO Score (CBS) is computed as the sum, across all BOs i in cluster C, of the product of each BO's base score, its recency weight, and its potential weight.</t>
  </si>
  <si>
    <t xml:space="preserve">Formula</t>
  </si>
  <si>
    <t xml:space="preserve">CBS(C) = Σ ( BO_score_i × recency_weight_i × potential_weight_i )   for all BOs i in cluster C</t>
  </si>
  <si>
    <t xml:space="preserve">Score Components</t>
  </si>
  <si>
    <t xml:space="preserve">Component</t>
  </si>
  <si>
    <t xml:space="preserve">Definition</t>
  </si>
  <si>
    <t xml:space="preserve">BO_score_i</t>
  </si>
  <si>
    <t xml:space="preserve">Base tier score (BO1-BO5), weighted with BO1 as highest.</t>
  </si>
  <si>
    <t xml:space="preserve">recency_weight_i</t>
  </si>
  <si>
    <t xml:space="preserve">Decays if the BO hasn't been visited recently — prevents low-tier/low-density BOs from being starved indefinitely.</t>
  </si>
  <si>
    <t xml:space="preserve">potential_weight_i</t>
  </si>
  <si>
    <t xml:space="preserve">Reflects revenue/order potential or Focus Product Cohort relevance, sourced via the 2A -&gt; 2B -&gt; 3 cohort API chain.</t>
  </si>
  <si>
    <t xml:space="preserve">This converts each cluster into a single comparable "prize" value — how much business value is on offer if this cluster is covered today.</t>
  </si>
  <si>
    <t xml:space="preserve">Per BO_Configuration_Sheet_v3 (confirmed, reverted): the actual BO_score_i is not a flat tier value — it comes from Section 7's formula: Daily_Priority_Score = 0.40 x Score_Rank1 + 0.35 x Score_Rank2 + 0.25 x Score_Rank3, over the DC's top 3 ranked objectives (out of 5: Private Label, DC Visits, Overall Sales, Outstanding Payments, Long-Term Growth), with a confirmed tie-break order and override rules. The BO1-BO5 tier labels and the 100/80/60/40/20 mapping used in this workbook's worked examples (sheets 7, 10, 11) are simplified illustrative proxies for that formula, not the real scoring mechanism — useful for showing the routing LOGIC clearly, but not a substitute for the actual weighted calculation. Note: this Section 7 ranking logic is explicitly UNCHANGED/reverted — a separate "DC Composite Health Score" (1-100, NRV/GM/Credit/OD-based) exists in the same config but only feeds a different qualification layer (8.5), not this ranking.</t>
  </si>
  <si>
    <t xml:space="preserve">Stage 3: Route Selection — BO-Score Maximization</t>
  </si>
  <si>
    <t xml:space="preserve">Once clusters are scored, the routing problem becomes a budget-constrained selection and sequencing problem.</t>
  </si>
  <si>
    <t xml:space="preserve">Decision</t>
  </si>
  <si>
    <t xml:space="preserve">Which subset of clusters (and which BOs within them) can the SE feasibly visit today, and in what order?</t>
  </si>
  <si>
    <t xml:space="preserve">Objective</t>
  </si>
  <si>
    <t xml:space="preserve">Maximize Σ CBS(C) across all visited clusters/BOs.</t>
  </si>
  <si>
    <t xml:space="preserve">Subject to</t>
  </si>
  <si>
    <t xml:space="preserve">CORRECTED: Daily travel TIME &lt;= 180 minutes (HARD ceiling) and total field time &lt;= 420 minutes (HARD); max 5 tasks/day (HARD, nominal ceiling); minimum dwell time per BO; recency constraints. Daily travel DISTANCE (80km) is advisory/informational only and never blocks selection — see sheet "5. Constraints" for the full hard-vs-advisory split.</t>
  </si>
  <si>
    <t xml:space="preserve">CORRECTED naming/count per the authoritative config: a minimum of 3 algorithm-generated models are always run and synced together (R5.1) — Model 1 Priority-Max (OR-Tools Orienteering/Prize-Collecting: maximize sum of Priority_Score x Visited, s.t. Travel&lt;=180min, Travel+Visit&lt;=420min, Visited&lt;=5, no distance cap), Model 2 Distance-Min/Efficiency (Nearest-Neighbor + 2-opt/Or-opt local search over Haversine distances, among the Top-K by Priority_Score), and Model 3 Balanced/Weighted (Clarke-Wright Savings + 2-opt, blended score = alpha x Priority_Captured + (1-alpha) x (1-Travel_Time), alpha derived per-node from historical travel time, bounded 0.4-0.8, default 0.6). An optional Model 4 SE Self-Override allows manual pin/adjustment, validated against guardrails only.</t>
  </si>
  <si>
    <t xml:space="preserve">In practice, the agent does not just pick the highest-CBS cluster in isolation — it evaluates combinations of adjacent clusters that together fit inside the travel budget while jointly maximizing cumulative score, since two medium-value clusters that are close together may beat one high-value cluster that is far away.</t>
  </si>
  <si>
    <t xml:space="preserve">Route Selection Criteria (Applied in Order)</t>
  </si>
  <si>
    <t xml:space="preserve">The clusters produced in Stage 1 and scored in Stage 2 are converted into today's route using the following ordered criteria — this is the exact decision logic applied by the Plan Generation Agent, and the same logic that drives the auto-recommendation on the Illustrative Example sheet.</t>
  </si>
  <si>
    <t xml:space="preserve">Step</t>
  </si>
  <si>
    <t xml:space="preserve">1. Ceiling check (time-based, HARD)</t>
  </si>
  <si>
    <t xml:space="preserve">CORRECTED: check whether the route's cumulative TRAVEL TIME would exceed 180 minutes (the real hard cap) — distance (80km) is advisory only and never triggers this check. If travel time would be exceeded, the authoritative default (GR-R5) is to TRIM stops by ascending Priority_Score (lowest-priority dropped first) until the route fits — see sheet "9. Edge Cases". This workbook's earlier "Exceptional DC / BO Rule" proposal (sheet "10") instead runs the DC uncapped — that is a CONFLICT with GR-R5, flagged on sheet "10" and "0. Alignment vs Config v3" for a decision, not silently resolved here.</t>
  </si>
  <si>
    <t xml:space="preserve">2. Rank by efficiency</t>
  </si>
  <si>
    <t xml:space="preserve">Rank remaining candidate clusters by Score-per-km = Cumulative BO Score ÷ Total Leg Distance, descending. This is the primary selection driver — it directly operationalizes the "maximize output within a distance constraint" principle from Section 4.</t>
  </si>
  <si>
    <t xml:space="preserve">3. Greedy accumulation</t>
  </si>
  <si>
    <t xml:space="preserve">Select clusters in rank order, adding each cluster's distance to a running total, until the next cluster would push cumulative distance beyond 80 km or cumulative time beyond 180 minutes.</t>
  </si>
  <si>
    <t xml:space="preserve">4. Tie-break (equal score-per-km)</t>
  </si>
  <si>
    <t xml:space="preserve">When two clusters rank equally: (a) prefer the one with lower total distance, (b) then the one with higher recency urgency (longer since last visit), (c) then the one with greater Focus Product Cohort relevance.</t>
  </si>
  <si>
    <t xml:space="preserve">5. Re-evaluate on partial budget</t>
  </si>
  <si>
    <t xml:space="preserve">If budget remains after the greedy pass but no full cluster fits, fall back to individual BO-level selection within reach (see Edge Case: "All clusters exceed remaining budget").</t>
  </si>
  <si>
    <t xml:space="preserve">Note: this greedy, rank-by-efficiency approach is the transparent/explainable approximation used in this workbook. The production Plan Generation Agent instead solves this as a Prize-Collecting VRP/Orienteering Problem via OR-Tools, which can find combinations the greedy pass would miss (e.g., two lower-ranked clusters that together beat one high-ranked cluster on a tight budget). The conditional ceiling check (Step 1) applies before this greedy pass runs, so Exceptional DCs never reach the efficiency-ranking stage at all.</t>
  </si>
  <si>
    <t xml:space="preserve">Route Distinction / Beat Cycle: none of the steps above, on their own, guarantee that consecutive routes differ or that every cluster gets a predictable visit cadence — only recency decay (Section 2) provides a soft nudge in that direction. See sheet "11. Route Distinction Rule" for the explicit Repeat-Avoidance and Fixed Rotation models that address this gap.</t>
  </si>
  <si>
    <t xml:space="preserve">Additional confirmed requirements (BO_Configuration_Sheet_v3): the Routing Agent must never alter the Priority_Score or Matched_Purposes it receives — it only sequences (R2.2, GR-R7). For a fixed candidate pool and date, Models 1-3 must always produce the same 3 plans, with no randomization unless a fixed seed is used (R5.5, GR-R9) — mirrors this workbook's own philosophy in sheet "9. Edge Cases" (Feedback loop oscillation) and "11. Route Distinction Rule" (reproducibility). Every generation run must be logged: which model, what inputs, what output, which plan the SE selected (GR-R10). The SE finalizes plan selection only after that day's punch-in — no fixed cutoff (R5.3, GR-R8).</t>
  </si>
  <si>
    <t xml:space="preserve">Objective Function: Minimize Distance vs. Maximize Output</t>
  </si>
  <si>
    <t xml:space="preserve">This is the central design tension in the routing agent, and is stated explicitly as its own principle rather than left implicit in the math.</t>
  </si>
  <si>
    <t xml:space="preserve">Minimize Distance</t>
  </si>
  <si>
    <t xml:space="preserve">The classical routing objective — reduce total kilometers/time to cover a fixed set of stops. On its own, this objective is coverage-agnostic: it treats every BO as equally worth visiting and simply finds the cheapest way to see all of them. Applied naively to field sales, this tends to favor tight, dense, nearby clusters and under-serve high-value but distant or sparse pockets, because they are "expensive" to reach.</t>
  </si>
  <si>
    <t xml:space="preserve">Maximize Output</t>
  </si>
  <si>
    <t xml:space="preserve">The commercial objective (cumulative BO score) — get the most business value out of the SE's limited working day, even if that means traveling farther to reach a high-tier BO, or skipping a nearby but low-tier BO entirely.</t>
  </si>
  <si>
    <t xml:space="preserve">Design Principle</t>
  </si>
  <si>
    <t xml:space="preserve">The Cluster-Based Model deliberately treats distance as a constraint, not the objective — the 80km/180-minute ceiling defines how much ground can be covered, while the optimization itself is run against BO score.</t>
  </si>
  <si>
    <t xml:space="preserve">Distance is minimized only insofar as it frees up budget to visit more/better BOs — it is never minimized at the cost of output.</t>
  </si>
  <si>
    <t xml:space="preserve">This distinction matters operationally: a purely distance-minimizing route will look efficient on a map but may under-deliver on business outcomes; a purely output-maximizing route without a distance constraint is operationally infeasible for a single SE's working day. The model's job is to sit at the efficient frontier between the two — the highest CBS achievable within the hard travel ceiling.</t>
  </si>
  <si>
    <t xml:space="preserve">Constraints Summary — Corrected: Time is the Hard Cap, Distance is Advisory</t>
  </si>
  <si>
    <t xml:space="preserve">CORRECTED (per BO_Configuration_Sheet_v3, Routing Agent R1.2/R1.5/R1.6, GR-13): this workbook previously treated an "80km / 180-minute" combined ceiling as the hard constraint. The authoritative config is explicit that only TRAVEL TIME is a hard cap — distance figures are advisory/informational only and never block a route. See "0. Alignment vs Config v3" for the full correction log.</t>
  </si>
  <si>
    <t xml:space="preserve">HARD Caps (Route Rejected/Trimmed if Breached)</t>
  </si>
  <si>
    <t xml:space="preserve">Constraint</t>
  </si>
  <si>
    <t xml:space="preserve">Value</t>
  </si>
  <si>
    <t xml:space="preserve">Enforcement</t>
  </si>
  <si>
    <t xml:space="preserve">Source</t>
  </si>
  <si>
    <t xml:space="preserve">Field_Minutes_Available</t>
  </si>
  <si>
    <t xml:space="preserve">420 minutes (7-hour field day)</t>
  </si>
  <si>
    <t xml:space="preserve">HARD — total time (travel + visits) may never exceed this</t>
  </si>
  <si>
    <t xml:space="preserve">GR-13, R1.1</t>
  </si>
  <si>
    <t xml:space="preserve">Max_Travel_Minutes</t>
  </si>
  <si>
    <t xml:space="preserve">180 minutes (3-hour ceiling)</t>
  </si>
  <si>
    <t xml:space="preserve">HARD — the real travel constraint. If a route would exceed this given the candidate pool's geography, stops are TRIMMED by ascending Priority_Score (lowest-priority dropped first) until it fits — see GR-R5 and sheet "9. Edge Cases"</t>
  </si>
  <si>
    <t xml:space="preserve">GR-13, R1.2, GR-R5</t>
  </si>
  <si>
    <t xml:space="preserve">Max daily tasks</t>
  </si>
  <si>
    <t xml:space="preserve">5 tasks/day (nominal ceiling)</t>
  </si>
  <si>
    <t xml:space="preserve">HARD upper bound, but the achievable number shrinks as real travel time grows toward the 180-min ceiling — 5 is only reliably hit when travel stays comfortably under cap (see R1.4's worked formula)</t>
  </si>
  <si>
    <t xml:space="preserve">GR-11, GR-R4, R1.4, R1.7</t>
  </si>
  <si>
    <t xml:space="preserve">ADVISORY ONLY (Tracked and Shown, Never Blocks)</t>
  </si>
  <si>
    <t xml:space="preserve">Metric</t>
  </si>
  <si>
    <t xml:space="preserve">Treatment</t>
  </si>
  <si>
    <t xml:space="preserve">Daily travel distance</t>
  </si>
  <si>
    <t xml:space="preserve">80 km/day</t>
  </si>
  <si>
    <t xml:space="preserve">Shown for visibility/cost tracking only — never rejects or trims a route</t>
  </si>
  <si>
    <t xml:space="preserve">R1.5, GR-13, OQ-4/13</t>
  </si>
  <si>
    <t xml:space="preserve">Monthly travel distance</t>
  </si>
  <si>
    <t xml:space="preserve">1,600 km/SE/month</t>
  </si>
  <si>
    <t xml:space="preserve">Tracked via SUM(google_distance) — informational, flagged to Incentive Policy owner for cost implications, never a build gate</t>
  </si>
  <si>
    <t xml:space="preserve">R1.6, OQ-4/13</t>
  </si>
  <si>
    <t xml:space="preserve">This workbook's earlier sheets (7, 10, 11) still use an "80km" figure in their worked examples as a simplified illustrative proxy for the time ceiling — this is a simplification, not a claim that distance itself is a real constraint. A proper conversion to minutes needs Avg_Speed_Kmph, which the authoritative config itself flags as still UNDEFINED (R3.2).</t>
  </si>
  <si>
    <t xml:space="preserve">Other Confirmed Parameters</t>
  </si>
  <si>
    <t xml:space="preserve">Parameter</t>
  </si>
  <si>
    <t xml:space="preserve">Purpose</t>
  </si>
  <si>
    <t xml:space="preserve">Minimum dwell time per BO</t>
  </si>
  <si>
    <t xml:space="preserve">Visit_Duration = 45-60 min</t>
  </si>
  <si>
    <t xml:space="preserve">Ensures visit quality, not just a drive-by</t>
  </si>
  <si>
    <t xml:space="preserve">8.3</t>
  </si>
  <si>
    <t xml:space="preserve">Recency decay / visit eligibility</t>
  </si>
  <si>
    <t xml:space="preserve">Exclude if Days_Since_Last_Visit &lt; 5 (independent 2nd pass at routing time)</t>
  </si>
  <si>
    <t xml:space="preserve">Prevents over-frequent contact and permanent starvation of low-density clusters</t>
  </si>
  <si>
    <t xml:space="preserve">R0.7</t>
  </si>
  <si>
    <t xml:space="preserve">Haversine x 1.4 circuity factor (locked primary)</t>
  </si>
  <si>
    <t xml:space="preserve">See sheet "6. Technical Stack" for full detail</t>
  </si>
  <si>
    <t xml:space="preserve">R3.1</t>
  </si>
  <si>
    <t xml:space="preserve">Route selection method (standard)</t>
  </si>
  <si>
    <t xml:space="preserve">Model 1 Priority-Max (primary), cross-checked against Models 2 and 3 — minimum 3 plans always generated</t>
  </si>
  <si>
    <t xml:space="preserve">Maximizes output within the HARD time/task caps above — see Section 3</t>
  </si>
  <si>
    <t xml:space="preserve">R4.1-R4.3, R5.1</t>
  </si>
  <si>
    <t xml:space="preserve">Technical Stack Reference</t>
  </si>
  <si>
    <t xml:space="preserve">Layer</t>
  </si>
  <si>
    <t xml:space="preserve">Distance computation</t>
  </si>
  <si>
    <t xml:space="preserve">CORRECTED: Haversine x 1.4 circuity factor is the LOCKED PRIMARY per-leg method (not a first-pass proxy refined later). google_distance (whole-shift total from the SE app) is used only for post-shift QA reconciliation against the Haversine estimate — monitoring only, never a build gate or route input (R3.1, R3.2, GR-R11).</t>
  </si>
  <si>
    <t xml:space="preserve">Clustering</t>
  </si>
  <si>
    <t xml:space="preserve">Density-aware clustering (k-means/DBSCAN variants) for uniform density-distance partitioning</t>
  </si>
  <si>
    <t xml:space="preserve">Route construction heuristics (per model)</t>
  </si>
  <si>
    <t xml:space="preserve">CORRECTED/expanded — 3 distinct heuristics per the confirmed models: Model 1 Priority-Max uses OR-Tools Orienteering/Prize-Collecting directly (no separate construction heuristic needed); Model 2 Distance-Min/Efficiency uses Nearest-Neighbor construction + 2-opt/Or-opt local search; Model 3 Balanced/Weighted uses Clarke-Wright Savings + 2-opt, with a per-node alpha blend (0.4-0.8, default 0.6) between priority-captured and travel-time.</t>
  </si>
  <si>
    <t xml:space="preserve">Route optimization (Model 1)</t>
  </si>
  <si>
    <t xml:space="preserve">OR-Tools constraint solver, Orienteering/Prize-Collecting formulation: maximize sum(Priority_Score x Visited) subject to Travel_Time&lt;=180min (HARD), Travel+Visit&lt;=420min (HARD), Visited&lt;=5 (HARD). No distance cap in the objective or constraints (R4.1).</t>
  </si>
  <si>
    <t xml:space="preserve">Scoring input</t>
  </si>
  <si>
    <t xml:space="preserve">BO1-BO5 tiering + Focus Product Cohort API (2A -&gt; 2B -&gt; 3 call chain)</t>
  </si>
  <si>
    <t xml:space="preserve">OPEN — Avg_Speed_Kmph</t>
  </si>
  <si>
    <t xml:space="preserve">Travel_Time_Leg = Distance_Leg / Avg_Speed_Kmph — method confirmed, but the speed value itself is STILL UNDEFINED (flagged as the single most important open number in the routing config; example range given: 25-30 km/h) (R3.2).</t>
  </si>
  <si>
    <t xml:space="preserve">Illustrative Example</t>
  </si>
  <si>
    <t xml:space="preserve">An SE has 6 candidate clusters today. The table below is a live model: edit the yellow input cells (BO count, cumulative score, intra-cluster distance, distance from SE start) and the score-per-km and running-total columns recalculate automatically.</t>
  </si>
  <si>
    <t xml:space="preserve">Cluster</t>
  </si>
  <si>
    <t xml:space="preserve">BO Count</t>
  </si>
  <si>
    <t xml:space="preserve">Cumulative BO Score</t>
  </si>
  <si>
    <t xml:space="preserve">Intra-cluster Distance (km)</t>
  </si>
  <si>
    <t xml:space="preserve">Distance from SE Start (km)</t>
  </si>
  <si>
    <t xml:space="preserve">Total Leg Distance (km)</t>
  </si>
  <si>
    <t xml:space="preserve">Score per km</t>
  </si>
  <si>
    <t xml:space="preserve">Selected?
(Planner — editable)</t>
  </si>
  <si>
    <t xml:space="preserve">Rank (Score/km)</t>
  </si>
  <si>
    <t xml:space="preserve">Cumulative Distance
at Rank (km)</t>
  </si>
  <si>
    <t xml:space="preserve">Route 1:
Efficiency-Balanced
(Score/km)</t>
  </si>
  <si>
    <t xml:space="preserve">Rank
(Score-Max)</t>
  </si>
  <si>
    <t xml:space="preserve">Cum. Dist. at Rank
(Score-Max, km)</t>
  </si>
  <si>
    <t xml:space="preserve">Route 2:
Score-Maximizing</t>
  </si>
  <si>
    <t xml:space="preserve">Rank
(Distance-Min)</t>
  </si>
  <si>
    <t xml:space="preserve">Cum. Dist. at Rank
(Distance-Min, km)</t>
  </si>
  <si>
    <t xml:space="preserve">Route 3:
Distance-Minimizing</t>
  </si>
  <si>
    <t xml:space="preserve">A</t>
  </si>
  <si>
    <t xml:space="preserve">Y</t>
  </si>
  <si>
    <t xml:space="preserve">B</t>
  </si>
  <si>
    <t xml:space="preserve">C</t>
  </si>
  <si>
    <t xml:space="preserve">N</t>
  </si>
  <si>
    <t xml:space="preserve">D</t>
  </si>
  <si>
    <t xml:space="preserve">E</t>
  </si>
  <si>
    <t xml:space="preserve">F</t>
  </si>
  <si>
    <t xml:space="preserve">TOTAL (Selected only)</t>
  </si>
  <si>
    <t xml:space="preserve">Budget: 80km</t>
  </si>
  <si>
    <t xml:space="preserve">AUTO-RECOMMENDED TOTAL (greedy, score/km ranked)</t>
  </si>
  <si>
    <t xml:space="preserve">Mark "Y" in the Selected? column for the clusters chosen for today's route to see the total distance and total cumulative score for that route, checked against the 80km budget.</t>
  </si>
  <si>
    <t xml:space="preserve">A distance-minimizing route would likely favor D -&gt; A -&gt; F (all close by), covering low-to-moderate score. A BO-score-maximizing route within the 80km/180-min ceiling might instead select D -&gt; A -&gt; B -&gt; E, accepting the longer leg to E because its high cumulative score (88) justifies the extra distance, while still fitting inside the travel budget. The auto-recommended greedy route above (D, A, B, F, E) reaches a similar conclusion via the ranked-by-efficiency criteria.</t>
  </si>
  <si>
    <t xml:space="preserve">Selected? (col H) is the planner's editable choice, pre-highlighted for manual entry. Auto-Recommended (col K) is computed independently using the ordered criteria in the "3. Route Selection" sheet: clusters are ranked by Score-per-km, then accepted greedily until the 80km budget would be exceeded. Compare the two TOTAL rows to see where a planner's manual call diverges from the criteria-driven recommendation.</t>
  </si>
  <si>
    <t xml:space="preserve">3-Route Comparison Summary</t>
  </si>
  <si>
    <t xml:space="preserve">Each route below is generated by the same greedy, budget-constrained selection logic (Section "3. Route Selection"), but ranks candidate clusters by a different criterion. Route 1 (Efficiency-Balanced) is the recommended default; Routes 2 and 3 show what the same logic produces if only one side of the distance-vs-output trade-off is optimized.</t>
  </si>
  <si>
    <t xml:space="preserve">Route</t>
  </si>
  <si>
    <t xml:space="preserve">Ranking Criterion</t>
  </si>
  <si>
    <t xml:space="preserve">Clusters Selected (in rank order)</t>
  </si>
  <si>
    <t xml:space="preserve">Total Distance (km)</t>
  </si>
  <si>
    <t xml:space="preserve">Total BO Score</t>
  </si>
  <si>
    <t xml:space="preserve">Score per km (route avg.)</t>
  </si>
  <si>
    <t xml:space="preserve">Route 1: Efficiency-Balanced</t>
  </si>
  <si>
    <t xml:space="preserve">Score ÷ Distance (Score-per-km), descending</t>
  </si>
  <si>
    <t xml:space="preserve">D, A, B, F, E (excludes C)</t>
  </si>
  <si>
    <t xml:space="preserve">Route 2: Score-Maximizing</t>
  </si>
  <si>
    <t xml:space="preserve">Cumulative BO Score, descending</t>
  </si>
  <si>
    <t xml:space="preserve">A, E, C, B, D (excludes F)</t>
  </si>
  <si>
    <t xml:space="preserve">Route 3: Distance-Minimizing</t>
  </si>
  <si>
    <t xml:space="preserve">Total Leg Distance, ascending</t>
  </si>
  <si>
    <t xml:space="preserve">D, F, A, B, C (excludes E)</t>
  </si>
  <si>
    <t xml:space="preserve">Read this table left to right: Route 1 gets the best return per kilometer of travel. Route 2 chases the single highest score total regardless of distance efficiency (it may not fully use the budget or may leave less room for tie-break clusters). Route 3 covers the most ground for the least distance but leaves the highest-value, farther-out clusters (like E) under-served. Compare Total BO Score and Score-per-km across the three to decide whether the default (Route 1) should be overridden for a given day.</t>
  </si>
  <si>
    <t xml:space="preserve">Evaluation Metrics</t>
  </si>
  <si>
    <t xml:space="preserve">BO Score Realized / BO Score Available</t>
  </si>
  <si>
    <t xml:space="preserve">How much of the theoretically available value was captured.</t>
  </si>
  <si>
    <t xml:space="preserve">Distance Efficiency</t>
  </si>
  <si>
    <t xml:space="preserve">Score captured per km traveled.</t>
  </si>
  <si>
    <t xml:space="preserve">Coverage Equity</t>
  </si>
  <si>
    <t xml:space="preserve">Variance in visit recency across clusters (to catch starvation of sparse zones).</t>
  </si>
  <si>
    <t xml:space="preserve">Plan Adherence</t>
  </si>
  <si>
    <t xml:space="preserve">Actual vs. planned route completion (fed back via the Feedback Agent).</t>
  </si>
  <si>
    <t xml:space="preserve">Edge Cases &amp; Handling</t>
  </si>
  <si>
    <t xml:space="preserve">Edge Case</t>
  </si>
  <si>
    <t xml:space="preserve">Handling Approach</t>
  </si>
  <si>
    <t xml:space="preserve">Isolated / outlier BO</t>
  </si>
  <si>
    <t xml:space="preserve">A single high-tier BO sits far outside every cluster, with no neighbors to justify the travel cost.</t>
  </si>
  <si>
    <t xml:space="preserve">Treat as a singleton "cluster of one." Include only if its individual CBS justifies the round-trip distance within budget; otherwise flag for a dedicated periodic visit (e.g., weekly) rather than forcing it into daily routing.</t>
  </si>
  <si>
    <t xml:space="preserve">Cluster with uniformly low-tier BOs</t>
  </si>
  <si>
    <t xml:space="preserve">A dense cluster exists geographically but every BO in it is BO4/BO5.</t>
  </si>
  <si>
    <t xml:space="preserve">CBS naturally deprioritizes it under normal recency weighting — but recency decay must eventually override this, or the cluster gets starved indefinitely. Cap max recency decay so every cluster surfaces at least once within a defined cycle (e.g., 15-30 days).</t>
  </si>
  <si>
    <t xml:space="preserve">Sparse territory / too few BOs for a full day</t>
  </si>
  <si>
    <t xml:space="preserve">SE's remaining territory has too few BOs to fill the 180-minute travel ceiling.</t>
  </si>
  <si>
    <t xml:space="preserve">Allow the model to under-utilize the travel budget rather than manufacturing detours; optionally pull forward BOs from the next cycle if within reach.</t>
  </si>
  <si>
    <t xml:space="preserve">All clusters exceed remaining budget</t>
  </si>
  <si>
    <t xml:space="preserve">After partial-day constraints (e.g., a mandatory morning meeting), no full cluster fits inside remaining time/distance.</t>
  </si>
  <si>
    <t xml:space="preserve">Fall back to partial-cluster selection — rank individual BOs within reach by score/distance ratio rather than requiring whole-cluster visits.</t>
  </si>
  <si>
    <t xml:space="preserve">Boundary BOs (equidistant between two clusters)</t>
  </si>
  <si>
    <t xml:space="preserve">A BO sits near the edge of two clusters and could logically belong to either.</t>
  </si>
  <si>
    <t xml:space="preserve">Assign at clustering time based on minimum marginal travel cost to the cluster's centroid; re-evaluate periodically as neighboring BOs are added/removed rather than fixing permanently.</t>
  </si>
  <si>
    <t xml:space="preserve">Missing or stale BO score (new BO, no history)</t>
  </si>
  <si>
    <t xml:space="preserve">A newly onboarded BO has no visit history or order data to compute potential_weight.</t>
  </si>
  <si>
    <t xml:space="preserve">Assign a default/neutral score tier (e.g., mid-tier BO3 equivalent) with higher recency priority for the first cycle, so new BOs get an initial visit before scoring stabilizes.</t>
  </si>
  <si>
    <t xml:space="preserve">Road network deviates sharply from straight-line distance</t>
  </si>
  <si>
    <t xml:space="preserve">Haversine distance underestimates real travel time (river crossing, one-way loops, unpaved stretch).</t>
  </si>
  <si>
    <t xml:space="preserve">OR-Tools road-adjusted distance matrix overrides Haversine wherever available; clusters with a large Haversine-vs-road discrepancy are flagged for manual boundary review.</t>
  </si>
  <si>
    <t xml:space="preserve">SE on leave / partial working day</t>
  </si>
  <si>
    <t xml:space="preserve">Full 180-minute/80km budget isn't available (half-day, late start).</t>
  </si>
  <si>
    <t xml:space="preserve">Constraint/Feasibility Agent passes a reduced budget into the routing stage; the same maximize-CBS-within-budget logic applies at the smaller scale rather than needing a separate model.</t>
  </si>
  <si>
    <t xml:space="preserve">Two adjacent clusters have near-identical CBS</t>
  </si>
  <si>
    <t xml:space="preserve">Route selection is ambiguous between two similarly scored options.</t>
  </si>
  <si>
    <t xml:space="preserve">Break ties using secondary criteria in priority order: lower total distance, higher recency urgency, then Focus Product Cohort relevance.</t>
  </si>
  <si>
    <t xml:space="preserve">Overlapping territory between two SEs</t>
  </si>
  <si>
    <t xml:space="preserve">A BO falls within reach of more than one SE's clusters (territory boundary overlap).</t>
  </si>
  <si>
    <t xml:space="preserve">BO ownership/assignment is resolved upstream by the Data Normalization Agent before clustering — the Routing Agent assumes a clean, non-overlapping BO universe per SE.</t>
  </si>
  <si>
    <t xml:space="preserve">Feedback loop oscillation</t>
  </si>
  <si>
    <t xml:space="preserve">A BO visited today gets heavily recency-decayed and then skipped for many cycles, causing score to spike and force a visit at an inconvenient time.</t>
  </si>
  <si>
    <t xml:space="preserve">Smooth recency_weight with a bounded decay curve (not a hard on/off) so score rises gradually rather than triggering sudden reprioritization spikes.</t>
  </si>
  <si>
    <t xml:space="preserve">DC / cluster density exceeds the standard ceiling</t>
  </si>
  <si>
    <t xml:space="preserve">A DC's own BO spread inherently requires more than 80km or 180 minutes to cover, before any cross-DC optimization is even applied.</t>
  </si>
  <si>
    <t xml:space="preserve">Reclassify as an Exceptional DC (see "10. Exceptional DC Routing"). Do not exclude or truncate it — generate a route using the BO Rule (strict tier-priority sequencing: BO1 first, then BO2, etc.) instead of the standard Score-per-km efficiency ranking, so highest-value BOs are always reached even at higher travel cost.</t>
  </si>
  <si>
    <t xml:space="preserve">Same route/cluster set repeated across consecutive cycles</t>
  </si>
  <si>
    <t xml:space="preserve">Efficiency-ranked selection alone can keep picking the same high-scoring clusters day after day if their score does not drop fast enough, leaving other assigned BOs permanently unvisited.</t>
  </si>
  <si>
    <t xml:space="preserve">No explicit rule currently prevents this — recency decay only provides a soft, indirect nudge. Apply the Route Distinction Rule (sheet "11. Route Distinction Rule"): either a Repeat-Avoidance cool-down window, a Fixed Rotation beat calendar, or both layered together.</t>
  </si>
  <si>
    <t xml:space="preserve">DC has null/invalid geo-coordinates</t>
  </si>
  <si>
    <t xml:space="preserve">A candidate DC is missing or has invalid latitude/longitude data.</t>
  </si>
  <si>
    <t xml:space="preserve">Excluded from ALL plans at the pre-generation filter stage — logged in Dropped_DCs as Geo_Incomplete. Never routed under any circumstance, standard or exceptional (GR-R1).</t>
  </si>
  <si>
    <t xml:space="preserve">DC is under Legal Hold</t>
  </si>
  <si>
    <t xml:space="preserve">A candidate DC has an active legal hold flag.</t>
  </si>
  <si>
    <t xml:space="preserve">Absolute exclusion from every list and every agent output, no exceptions — enforced at both pre- and post-generation stages as an independent double-check (GR-03, GR-R2, GR-14).</t>
  </si>
  <si>
    <t xml:space="preserve">Route would exceed the 180-min travel-time ceiling</t>
  </si>
  <si>
    <t xml:space="preserve">Given the candidate pool's geography, the route as ranked would need more than 180 minutes of travel.</t>
  </si>
  <si>
    <t xml:space="preserve">CONFIRMED default behavior: trim stops by ascending Priority_Score (lowest-priority dropped first) until the route fits under 180 min — flag Travel_Ceiling_Exceeded and log which stops were dropped and why (GR-R5). See sheet "10. Exceptional DC Routing" for a proposed alternative and the flagged conflict with this rule.</t>
  </si>
  <si>
    <t xml:space="preserve">Fewer than 3 distinct feasible plans can be generated</t>
  </si>
  <si>
    <t xml:space="preserve">The candidate pool is too small or too uniform for Models 1-3 to produce 3 genuinely different plans.</t>
  </si>
  <si>
    <t xml:space="preserve">Never silently show fewer than 3 without explanation — flag Insufficient_Candidates_For_3_Plans and show however many are genuinely distinct (GR-R6).</t>
  </si>
  <si>
    <t xml:space="preserve">Non-reproducible plan output</t>
  </si>
  <si>
    <t xml:space="preserve">The same candidate pool and date snapshot produce different plans on repeated runs.</t>
  </si>
  <si>
    <t xml:space="preserve">Treated as a bug, not acceptable variability — Models 1-3 must be deterministic code, never free-form generation, for a fixed input snapshot (GR-R9, GR-16).</t>
  </si>
  <si>
    <t xml:space="preserve">Exceptional DC Routing — Conditional Ceiling &amp; the BO Rule</t>
  </si>
  <si>
    <t xml:space="preserve">When a DC Becomes "Exceptional"</t>
  </si>
  <si>
    <t xml:space="preserve">The 180-minute travel-time ceiling is the HARD constraint (see sheet "5. Constraints" for the corrected hard-vs-advisory split — distance/80km is advisory only). Some DCs are inherently sparse or spread out — their own assigned BOs cannot be covered within 180 minutes of travel even before any cross-DC optimization is applied. This sheet's proposal: rather than truncating and dropping lower-ranked BOs, reclassify the DC as Exceptional and still generate a full route, sequenced by the BO Rule instead of Score-per-km — see the conflict callout above for how this compares to the authoritative config's GR-R5 (trim, don't extend).</t>
  </si>
  <si>
    <t xml:space="preserve">The BO Rule</t>
  </si>
  <si>
    <t xml:space="preserve">For an Exceptional DC, cluster/BO selection switches from "maximize score-per-km" to strict BO-tier priority sequencing: visit all BO1 outlets first, then BO2, then BO3, and so on — regardless of the extra distance this requires. The standard ceiling becomes a soft reference point (used for monitoring/reporting) rather than a stop condition. Ties within the same tier are broken by recency urgency, then by nearest distance.</t>
  </si>
  <si>
    <t xml:space="preserve">1</t>
  </si>
  <si>
    <t xml:space="preserve">Sort all BOs in the Exceptional DC by tier ascending (BO1 = highest priority -&gt; BO5 = lowest).</t>
  </si>
  <si>
    <t xml:space="preserve">2</t>
  </si>
  <si>
    <t xml:space="preserve">Within the same tier, break ties by recency urgency (longer since last visit goes first), then by nearest distance.</t>
  </si>
  <si>
    <t xml:space="preserve">3</t>
  </si>
  <si>
    <t xml:space="preserve">Sequence the route in this tier-priority order — do not stop at 80km/180min; continue until all BOs are covered or a defined maximum operational cap is reached.</t>
  </si>
  <si>
    <t xml:space="preserve">4</t>
  </si>
  <si>
    <t xml:space="preserve">Flag any leg beyond the standard 80km/180km ceiling for visibility (e.g., in reporting/monitoring), even though it is not used to cut off the route.</t>
  </si>
  <si>
    <t xml:space="preserve">Worked Example</t>
  </si>
  <si>
    <t xml:space="preserve">DC "North Sparse Belt" has 6 BOs spread across a wide, low-density area. Edit the yellow input cells (BO tier, leg distance) and the priority rank, cumulative distance, and ceiling-exceeded flag recalculate automatically.</t>
  </si>
  <si>
    <t xml:space="preserve">BO Code</t>
  </si>
  <si>
    <t xml:space="preserve">BO Tier</t>
  </si>
  <si>
    <t xml:space="preserve">Leg Distance (km)
(from previous stop)</t>
  </si>
  <si>
    <t xml:space="preserve">Priority Rank
(BO Rule)</t>
  </si>
  <si>
    <t xml:space="preserve">Cumulative Distance
in BO-Rule Order (km)</t>
  </si>
  <si>
    <t xml:space="preserve">Exceeds Standard
Ceiling (80km)?</t>
  </si>
  <si>
    <t xml:space="preserve">Visited under
BO Rule?</t>
  </si>
  <si>
    <t xml:space="preserve">Tier Number
(helper)</t>
  </si>
  <si>
    <t xml:space="preserve">Priority Key
(helper)</t>
  </si>
  <si>
    <t xml:space="preserve">BO Score
(tier-based)</t>
  </si>
  <si>
    <t xml:space="preserve">Rank
(Efficiency order)</t>
  </si>
  <si>
    <t xml:space="preserve">Cum. Distance
(Efficiency order, km)</t>
  </si>
  <si>
    <t xml:space="preserve">Captured within
80km? (Efficiency)</t>
  </si>
  <si>
    <t xml:space="preserve">Rank
(Distance-ascending order)</t>
  </si>
  <si>
    <t xml:space="preserve">Cum. Distance
(Distance order, km)</t>
  </si>
  <si>
    <t xml:space="preserve">Captured within
80km? (Distance)</t>
  </si>
  <si>
    <t xml:space="preserve">Tier-&gt;Score
lookup</t>
  </si>
  <si>
    <t xml:space="preserve">Tier</t>
  </si>
  <si>
    <t xml:space="preserve">Score</t>
  </si>
  <si>
    <t xml:space="preserve">BO101</t>
  </si>
  <si>
    <t xml:space="preserve">BO1</t>
  </si>
  <si>
    <t xml:space="preserve">BO102</t>
  </si>
  <si>
    <t xml:space="preserve">BO2</t>
  </si>
  <si>
    <t xml:space="preserve">BO201</t>
  </si>
  <si>
    <t xml:space="preserve">BO3</t>
  </si>
  <si>
    <t xml:space="preserve">BO202</t>
  </si>
  <si>
    <t xml:space="preserve">BO4</t>
  </si>
  <si>
    <t xml:space="preserve">BO301</t>
  </si>
  <si>
    <t xml:space="preserve">BO5</t>
  </si>
  <si>
    <t xml:space="preserve">BO401</t>
  </si>
  <si>
    <t xml:space="preserve">TOTAL (full BO-Rule route)</t>
  </si>
  <si>
    <t xml:space="preserve">Standard ceiling: 80km (reference only)</t>
  </si>
  <si>
    <t xml:space="preserve">Under a STANDARD (efficiency-ranked) model truncated at 80km, this DC would drop whichever BOs fall past the cutoff — and which BOs get dropped depends entirely on the ordering used. The comparison below shows exactly that risk: only the BO Rule guarantees both BO1 outlets (the highest tier) are captured before any lower-tier BO, regardless of distance.</t>
  </si>
  <si>
    <t xml:space="preserve">This sheet's Priority Rank and Cumulative Distance columns use the same SUMIF-based ranking pattern as the standard Illustrative Example sheet — the only change is what the ranking key is (BO tier instead of Score-per-km) and that the ceiling is not used to cut the list short.</t>
  </si>
  <si>
    <t xml:space="preserve">Ceiling-Robustness Comparison: What Gets Left Out at 80km?</t>
  </si>
  <si>
    <t xml:space="preserve">All three orderings below eventually cover the same 6 BOs (95km total) — that does not change with sequence. What changes is which BOs are already covered if the day is unexpectedly cut short at the 80km reference point. This is the real trade-off for an Exceptional DC: not total distance or total score, but which BOs are protected if the SE runs out of time.</t>
  </si>
  <si>
    <t xml:space="preserve">Ordering</t>
  </si>
  <si>
    <t xml:space="preserve">Ranking Basis</t>
  </si>
  <si>
    <t xml:space="preserve">Order of Visits</t>
  </si>
  <si>
    <t xml:space="preserve">BOs Captured by 80km</t>
  </si>
  <si>
    <t xml:space="preserve">Score Captured by 80km</t>
  </si>
  <si>
    <t xml:space="preserve">BOs Left Out if Cut Short at 80km</t>
  </si>
  <si>
    <t xml:space="preserve">BO Rule (mandated)</t>
  </si>
  <si>
    <t xml:space="preserve">BO Tier ascending (BO1 -&gt; BO5)</t>
  </si>
  <si>
    <t xml:space="preserve">BO101, BO102, BO201, BO202, BO301, BO401</t>
  </si>
  <si>
    <t xml:space="preserve">BO301, BO401 (both lower-tier — BO1/BO2 fully protected)</t>
  </si>
  <si>
    <t xml:space="preserve">Efficiency (Score/km)</t>
  </si>
  <si>
    <t xml:space="preserve">Score ÷ Distance, descending</t>
  </si>
  <si>
    <t xml:space="preserve">BO101, BO301, BO401, BO201, BO102, BO202</t>
  </si>
  <si>
    <t xml:space="preserve">BO202 only — but ordering is not guaranteed to protect top tiers first</t>
  </si>
  <si>
    <t xml:space="preserve">Distance-Ascending</t>
  </si>
  <si>
    <t xml:space="preserve">Leg Distance, ascending (nearest first)</t>
  </si>
  <si>
    <t xml:space="preserve">BO401, BO301, BO101, BO201, BO202, BO102</t>
  </si>
  <si>
    <t xml:space="preserve">BO102 — a BO1 (highest-tier) outlet left uncovered if cut short</t>
  </si>
  <si>
    <t xml:space="preserve">This is the core justification for the BO Rule: Score/km and Distance-ascending orderings can both, by coincidence of the data, end up capturing similar total score within 80km — but neither one guarantees WHICH BOs are protected. In this example, Distance-Ascending actually leaves out BO102, a top-tier (BO1) outlet, if the day is cut short — precisely the failure mode the BO Rule is designed to prevent. Only tier-first sequencing guarantees no higher-tier BO is ever left behind a lower-tier one, independent of how the day actually plays out.</t>
  </si>
  <si>
    <t xml:space="preserve">Route Distinction / Beat Cycle Rule</t>
  </si>
  <si>
    <t xml:space="preserve">Note: BO_Configuration_Sheet_v3 (the authoritative Routing Agent config) does not define an explicit route-distinction or beat-cycle rule — it specifies determinism the other way (same inputs must always yield the same 3 plans, GR-R9/R5.5), which is about reproducibility, not forced variation. The two models below remain a proposal from this session, not yet part of the confirmed config — flagging this so it isn't mistaken for an existing system rule.</t>
  </si>
  <si>
    <t xml:space="preserve">Today, the only mechanism causing route-to-route variation is recency decay in the BO Scoring stage (Section 2) — a visited cluster's score drops for the next cycle, which indirectly makes it less likely to be picked again immediately. This is a soft, incidental effect, not an explicit rule: nothing currently guarantees that consecutive routes are distinct, and nothing guarantees every cluster gets visited on a predictable cadence. This sheet adds that as an explicit rule, with two alternative models.</t>
  </si>
  <si>
    <t xml:space="preserve">Model A — Repeat-Avoidance (Cool-down Rule)</t>
  </si>
  <si>
    <t xml:space="preserve">A hard constraint: once a cluster is selected into a route, it is excluded from selection for the next N planning cycles (the "cool-down window"), even if it would otherwise rank highly. This converts the existing soft recency-decay effect into an explicit, guaranteed rule rather than a scoring nudge.</t>
  </si>
  <si>
    <t xml:space="preserve">Trigger</t>
  </si>
  <si>
    <t xml:space="preserve">A cluster was selected (Selected? = Y) in any of the last N cycles.</t>
  </si>
  <si>
    <t xml:space="preserve">Effect</t>
  </si>
  <si>
    <t xml:space="preserve">That cluster is hard-excluded from the ranking pool for the current cycle, regardless of its Score-per-km.</t>
  </si>
  <si>
    <t xml:space="preserve">Override</t>
  </si>
  <si>
    <t xml:space="preserve">If excluding it would leave the day's route empty or below a minimum coverage threshold, the cool-down is waived for the single highest-scoring blocked cluster (an escape hatch, not a silent failure).</t>
  </si>
  <si>
    <t xml:space="preserve">Cool-down window N is configurable — e.g., N=1 (can't repeat tomorrow) up to N=6 (roughly a weekly rotation).</t>
  </si>
  <si>
    <t xml:space="preserve">Worked example — cool-down window N = 1 day, applied to the 6 standard clusters (A-F):</t>
  </si>
  <si>
    <t xml:space="preserve">Day</t>
  </si>
  <si>
    <t xml:space="preserve">Eligible Clusters (not in cool-down)</t>
  </si>
  <si>
    <t xml:space="preserve">Blocked (cooling down)</t>
  </si>
  <si>
    <t xml:space="preserve">Route Selected (Efficiency-ranked, budget-capped)</t>
  </si>
  <si>
    <t xml:space="preserve">Day 1</t>
  </si>
  <si>
    <t xml:space="preserve">A, B, C, D, E, F (no history yet)</t>
  </si>
  <si>
    <t xml:space="preserve">—</t>
  </si>
  <si>
    <t xml:space="preserve">D, A, B, F, E (63km) — same as the standard Route 1</t>
  </si>
  <si>
    <t xml:space="preserve">Day 2</t>
  </si>
  <si>
    <t xml:space="preserve">C only (D, A, B, F, E all cooling down from Day 1)</t>
  </si>
  <si>
    <t xml:space="preserve">D, A, B, F, E</t>
  </si>
  <si>
    <t xml:space="preserve">C alone (25km) — forced, since it's the only eligible cluster</t>
  </si>
  <si>
    <t xml:space="preserve">Day 3</t>
  </si>
  <si>
    <t xml:space="preserve">A, B, D, E, F (C now cooling down from Day 2; Day-1 clusters' cool-down has expired)</t>
  </si>
  <si>
    <t xml:space="preserve">D, A, B, F, E again (63km) — cool-down has fully reset</t>
  </si>
  <si>
    <t xml:space="preserve">Note the trade-off visible on Day 2: forcing distinction produces a very thin route (just cluster C, 25km) because every other cluster is still cooling down. A 1-day cool-down is too aggressive for only 6 clusters — this is why the window (N) needs to be sized against the number of clusters in the territory, not set arbitrarily.</t>
  </si>
  <si>
    <t xml:space="preserve">Model B — Fixed Rotation (Beat Calendar)</t>
  </si>
  <si>
    <t xml:space="preserve">Instead of reacting after the fact (Model A), pre-assign clusters to specific days of a repeating cycle (e.g., a weekly beat calendar). Each day only draws candidates from its assigned zone; standard efficiency-ranked selection and the budget cap still apply within that zone. This guarantees a predictable visit cadence for every cluster and produces distinct routes by construction, without needing a cool-down override.</t>
  </si>
  <si>
    <t xml:space="preserve">None needed — distinction is structural, not reactive. Each day's candidate pool is fixed in advance.</t>
  </si>
  <si>
    <t xml:space="preserve">Every cluster is guaranteed a visit at least once per cycle length (e.g., every 3 days), regardless of its score that day.</t>
  </si>
  <si>
    <t xml:space="preserve">Zone assignment</t>
  </si>
  <si>
    <t xml:space="preserve">Zones are drawn up front from geography/density (Stage 1 clustering output), not from daily scores — e.g., group adjacent clusters so each day's zone is still travel-efficient on its own.</t>
  </si>
  <si>
    <t xml:space="preserve">Within-zone selection</t>
  </si>
  <si>
    <t xml:space="preserve">Standard Route Selection Criteria (Section 3, Steps 2-4) still apply inside the day's assigned zone.</t>
  </si>
  <si>
    <t xml:space="preserve">Worked example — a 3-day rotation cycle across the same 6 clusters:</t>
  </si>
  <si>
    <t xml:space="preserve">Cycle Day</t>
  </si>
  <si>
    <t xml:space="preserve">Assigned Zone</t>
  </si>
  <si>
    <t xml:space="preserve">Clusters in Zone</t>
  </si>
  <si>
    <t xml:space="preserve">Route (efficiency-ranked within zone, budget-capped)</t>
  </si>
  <si>
    <t xml:space="preserve">Zone 1</t>
  </si>
  <si>
    <t xml:space="preserve">D, A</t>
  </si>
  <si>
    <t xml:space="preserve">D, A (15km) — both fit easily, budget underused</t>
  </si>
  <si>
    <t xml:space="preserve">Zone 2</t>
  </si>
  <si>
    <t xml:space="preserve">B, F</t>
  </si>
  <si>
    <t xml:space="preserve">B, F (21km) — both fit easily</t>
  </si>
  <si>
    <t xml:space="preserve">Zone 3</t>
  </si>
  <si>
    <t xml:space="preserve">C, E</t>
  </si>
  <si>
    <t xml:space="preserve">C, E (52km) — both fit, uses more of the budget due to spread</t>
  </si>
  <si>
    <t xml:space="preserve">Day 4</t>
  </si>
  <si>
    <t xml:space="preserve">Zone 1 (repeats)</t>
  </si>
  <si>
    <t xml:space="preserve">Cycle restarts — guaranteed re-visit, 3 days since last</t>
  </si>
  <si>
    <t xml:space="preserve">Note the trade-off here in the opposite direction from Model A: Zones 1 and 2 leave most of the 80km budget unused (15km and 21km respectively) because zone membership was fixed by geography, not by how much value is available that day — the guarantee of distinction/coverage comes at the cost of budget efficiency on lighter zones.</t>
  </si>
  <si>
    <t xml:space="preserve">Which Rule to Use</t>
  </si>
  <si>
    <t xml:space="preserve">Dimension</t>
  </si>
  <si>
    <t xml:space="preserve">Model A: Repeat-Avoidance</t>
  </si>
  <si>
    <t xml:space="preserve">Model B: Fixed Rotation</t>
  </si>
  <si>
    <t xml:space="preserve">How distinction is achieved</t>
  </si>
  <si>
    <t xml:space="preserve">Reactive — blocks recently-visited clusters</t>
  </si>
  <si>
    <t xml:space="preserve">Structural — pre-assigns clusters to fixed days</t>
  </si>
  <si>
    <t xml:space="preserve">Coverage guarantee</t>
  </si>
  <si>
    <t xml:space="preserve">Indirect (depends on cool-down window sizing)</t>
  </si>
  <si>
    <t xml:space="preserve">Direct — every cluster visited once per cycle length, by design</t>
  </si>
  <si>
    <t xml:space="preserve">Budget efficiency</t>
  </si>
  <si>
    <t xml:space="preserve">High — always picks the best-available eligible clusters</t>
  </si>
  <si>
    <t xml:space="preserve">Lower on light zones — some days under-use the travel budget</t>
  </si>
  <si>
    <t xml:space="preserve">Responsiveness to real-time BO score changes</t>
  </si>
  <si>
    <t xml:space="preserve">High — still ranks by current score among eligible clusters</t>
  </si>
  <si>
    <t xml:space="preserve">Low — zone membership doesn't react to score changes</t>
  </si>
  <si>
    <t xml:space="preserve">Best suited for</t>
  </si>
  <si>
    <t xml:space="preserve">Dense territories with many interchangeable clusters</t>
  </si>
  <si>
    <t xml:space="preserve">Sparse or Exceptional DC territories needing predictable cadence</t>
  </si>
  <si>
    <t xml:space="preserve">Recommended default: run Model B (Fixed Rotation) as the backbone for territory-wide coverage cadence, with Model A (Repeat-Avoidance, short cool-down of 1-2 days) layered on top as a safeguard within each day's zone — this prevents the same cluster being picked two days running even within a single rotation slot, without sacrificing the predictability of the rotation.</t>
  </si>
</sst>
</file>

<file path=xl/styles.xml><?xml version="1.0" encoding="utf-8"?>
<styleSheet xmlns="http://schemas.openxmlformats.org/spreadsheetml/2006/main">
  <numFmts count="3">
    <numFmt numFmtId="164" formatCode="General"/>
    <numFmt numFmtId="165" formatCode="0.00"/>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name val="Arial"/>
      <family val="0"/>
      <charset val="1"/>
    </font>
    <font>
      <b val="true"/>
      <sz val="13"/>
      <color rgb="FFFFFFFF"/>
      <name val="Arial"/>
      <family val="0"/>
      <charset val="1"/>
    </font>
    <font>
      <b val="true"/>
      <sz val="10"/>
      <color rgb="FFFFFFFF"/>
      <name val="Arial"/>
      <family val="0"/>
      <charset val="1"/>
    </font>
    <font>
      <i val="true"/>
      <sz val="11"/>
      <color rgb="FF595959"/>
      <name val="Arial"/>
      <family val="0"/>
      <charset val="1"/>
    </font>
    <font>
      <i val="true"/>
      <sz val="9"/>
      <color rgb="FF595959"/>
      <name val="Arial"/>
      <family val="0"/>
      <charset val="1"/>
    </font>
    <font>
      <b val="true"/>
      <sz val="11"/>
      <color rgb="FF1F4E78"/>
      <name val="Arial"/>
      <family val="0"/>
      <charset val="1"/>
    </font>
    <font>
      <b val="true"/>
      <i val="true"/>
      <sz val="11"/>
      <color rgb="FFC00000"/>
      <name val="Arial"/>
      <family val="0"/>
      <charset val="1"/>
    </font>
    <font>
      <b val="true"/>
      <sz val="10"/>
      <name val="Arial"/>
      <family val="0"/>
      <charset val="1"/>
    </font>
  </fonts>
  <fills count="14">
    <fill>
      <patternFill patternType="none"/>
    </fill>
    <fill>
      <patternFill patternType="gray125"/>
    </fill>
    <fill>
      <patternFill patternType="solid">
        <fgColor rgb="FFC00000"/>
        <bgColor rgb="FF800000"/>
      </patternFill>
    </fill>
    <fill>
      <patternFill patternType="solid">
        <fgColor rgb="FF2E75B6"/>
        <bgColor rgb="FF4472C4"/>
      </patternFill>
    </fill>
    <fill>
      <patternFill patternType="solid">
        <fgColor rgb="FF4472C4"/>
        <bgColor rgb="FF2E75B6"/>
      </patternFill>
    </fill>
    <fill>
      <patternFill patternType="solid">
        <fgColor rgb="FFF8CBAD"/>
        <bgColor rgb="FFFCE4D6"/>
      </patternFill>
    </fill>
    <fill>
      <patternFill patternType="solid">
        <fgColor rgb="FFFFF2CC"/>
        <bgColor rgb="FFFCE4D6"/>
      </patternFill>
    </fill>
    <fill>
      <patternFill patternType="solid">
        <fgColor rgb="FFD9D2E9"/>
        <bgColor rgb="FFDDEBF7"/>
      </patternFill>
    </fill>
    <fill>
      <patternFill patternType="solid">
        <fgColor rgb="FFE2EFDA"/>
        <bgColor rgb="FFDDEBF7"/>
      </patternFill>
    </fill>
    <fill>
      <patternFill patternType="solid">
        <fgColor rgb="FF1F4E78"/>
        <bgColor rgb="FF003366"/>
      </patternFill>
    </fill>
    <fill>
      <patternFill patternType="solid">
        <fgColor rgb="FFF2F2F2"/>
        <bgColor rgb="FFE2EFDA"/>
      </patternFill>
    </fill>
    <fill>
      <patternFill patternType="solid">
        <fgColor rgb="FFDDEBF7"/>
        <bgColor rgb="FFE2EFDA"/>
      </patternFill>
    </fill>
    <fill>
      <patternFill patternType="solid">
        <fgColor rgb="FFFFFF99"/>
        <bgColor rgb="FFFFF2CC"/>
      </patternFill>
    </fill>
    <fill>
      <patternFill patternType="solid">
        <fgColor rgb="FFFCE4D6"/>
        <bgColor rgb="FFFFF2CC"/>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1" shrinkToFit="false"/>
      <protection locked="true" hidden="false"/>
    </xf>
    <xf numFmtId="164" fontId="5" fillId="0" borderId="0" xfId="0" applyFont="true" applyBorder="true" applyAlignment="true" applyProtection="true">
      <alignment horizontal="left" vertical="top" textRotation="0" wrapText="true" indent="0" shrinkToFit="false"/>
      <protection locked="true" hidden="false"/>
    </xf>
    <xf numFmtId="164" fontId="6" fillId="3" borderId="0" xfId="0" applyFont="true" applyBorder="true" applyAlignment="true" applyProtection="true">
      <alignment horizontal="left" vertical="center" textRotation="0" wrapText="false" indent="1" shrinkToFit="false"/>
      <protection locked="true" hidden="false"/>
    </xf>
    <xf numFmtId="164" fontId="7" fillId="4" borderId="1" xfId="0" applyFont="true" applyBorder="true" applyAlignment="true" applyProtection="true">
      <alignment horizontal="center" vertical="center" textRotation="0" wrapText="true" indent="0" shrinkToFit="false"/>
      <protection locked="true" hidden="false"/>
    </xf>
    <xf numFmtId="164" fontId="5" fillId="5" borderId="1" xfId="0" applyFont="true" applyBorder="true" applyAlignment="true" applyProtection="true">
      <alignment horizontal="left" vertical="top" textRotation="0" wrapText="true" indent="0" shrinkToFit="false"/>
      <protection locked="true" hidden="false"/>
    </xf>
    <xf numFmtId="164" fontId="5" fillId="6" borderId="1" xfId="0" applyFont="true" applyBorder="true" applyAlignment="true" applyProtection="true">
      <alignment horizontal="left" vertical="top" textRotation="0" wrapText="true" indent="0" shrinkToFit="false"/>
      <protection locked="true" hidden="false"/>
    </xf>
    <xf numFmtId="164" fontId="5" fillId="7" borderId="1" xfId="0" applyFont="true" applyBorder="true" applyAlignment="true" applyProtection="true">
      <alignment horizontal="left" vertical="top" textRotation="0" wrapText="true" indent="0" shrinkToFit="false"/>
      <protection locked="true" hidden="false"/>
    </xf>
    <xf numFmtId="164" fontId="5" fillId="8" borderId="1" xfId="0" applyFont="true" applyBorder="true" applyAlignment="true" applyProtection="true">
      <alignment horizontal="left" vertical="top" textRotation="0" wrapText="true" indent="0" shrinkToFit="false"/>
      <protection locked="true" hidden="false"/>
    </xf>
    <xf numFmtId="164" fontId="4" fillId="9" borderId="0" xfId="0" applyFont="tru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left" vertical="bottom" textRotation="0" wrapText="false" indent="1"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5" fillId="10" borderId="1" xfId="0" applyFont="true" applyBorder="true" applyAlignment="true" applyProtection="true">
      <alignment horizontal="left" vertical="top" textRotation="0" wrapText="true" indent="0" shrinkToFit="false"/>
      <protection locked="true" hidden="false"/>
    </xf>
    <xf numFmtId="164" fontId="9" fillId="0" borderId="0" xfId="0" applyFont="true" applyBorder="true" applyAlignment="true" applyProtection="true">
      <alignment horizontal="left" vertical="top" textRotation="0" wrapText="true" indent="0" shrinkToFit="false"/>
      <protection locked="true" hidden="false"/>
    </xf>
    <xf numFmtId="164" fontId="10" fillId="0" borderId="0" xfId="0" applyFont="true" applyBorder="true" applyAlignment="true" applyProtection="true">
      <alignment horizontal="left" vertical="center" textRotation="0" wrapText="false" indent="1" shrinkToFit="false"/>
      <protection locked="true" hidden="false"/>
    </xf>
    <xf numFmtId="164" fontId="5" fillId="11" borderId="0" xfId="0" applyFont="true" applyBorder="true" applyAlignment="true" applyProtection="true">
      <alignment horizontal="left" vertical="top" textRotation="0" wrapText="true" indent="0" shrinkToFit="false"/>
      <protection locked="true" hidden="false"/>
    </xf>
    <xf numFmtId="164" fontId="5" fillId="6" borderId="0" xfId="0" applyFont="true" applyBorder="true" applyAlignment="true" applyProtection="true">
      <alignment horizontal="left" vertical="top" textRotation="0" wrapText="true" indent="0" shrinkToFit="false"/>
      <protection locked="true" hidden="false"/>
    </xf>
    <xf numFmtId="164" fontId="11" fillId="0" borderId="0" xfId="0" applyFont="true" applyBorder="true" applyAlignment="true" applyProtection="true">
      <alignment horizontal="left" vertical="top" textRotation="0" wrapText="true" indent="0" shrinkToFit="false"/>
      <protection locked="true" hidden="false"/>
    </xf>
    <xf numFmtId="164" fontId="6" fillId="3" borderId="1" xfId="0" applyFont="true" applyBorder="true" applyAlignment="true" applyProtection="true">
      <alignment horizontal="left" vertical="center" textRotation="0" wrapText="false" indent="1" shrinkToFit="false"/>
      <protection locked="true" hidden="false"/>
    </xf>
    <xf numFmtId="164" fontId="5" fillId="11" borderId="1" xfId="0" applyFont="true" applyBorder="true" applyAlignment="true" applyProtection="true">
      <alignment horizontal="left" vertical="top" textRotation="0" wrapText="true" indent="0" shrinkToFit="false"/>
      <protection locked="true" hidden="false"/>
    </xf>
    <xf numFmtId="164" fontId="5" fillId="11"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12" borderId="1" xfId="0" applyFont="true" applyBorder="true" applyAlignment="true" applyProtection="true">
      <alignment horizontal="center" vertical="center" textRotation="0" wrapText="true" indent="0" shrinkToFit="false"/>
      <protection locked="true" hidden="false"/>
    </xf>
    <xf numFmtId="165" fontId="5" fillId="0" borderId="1" xfId="0" applyFont="true" applyBorder="true" applyAlignment="true" applyProtection="true">
      <alignment horizontal="center" vertical="center" textRotation="0" wrapText="true" indent="0" shrinkToFit="false"/>
      <protection locked="true" hidden="false"/>
    </xf>
    <xf numFmtId="166" fontId="5" fillId="8" borderId="1" xfId="0" applyFont="true" applyBorder="true" applyAlignment="true" applyProtection="true">
      <alignment horizontal="center" vertical="center" textRotation="0" wrapText="true" indent="0" shrinkToFit="false"/>
      <protection locked="true" hidden="false"/>
    </xf>
    <xf numFmtId="164" fontId="12" fillId="8" borderId="1" xfId="0" applyFont="true" applyBorder="true" applyAlignment="true" applyProtection="true">
      <alignment horizontal="center" vertical="center" textRotation="0" wrapText="true" indent="0" shrinkToFit="false"/>
      <protection locked="true" hidden="false"/>
    </xf>
    <xf numFmtId="166" fontId="5" fillId="13" borderId="1" xfId="0" applyFont="true" applyBorder="true" applyAlignment="true" applyProtection="true">
      <alignment horizontal="center" vertical="center" textRotation="0" wrapText="true" indent="0" shrinkToFit="false"/>
      <protection locked="true" hidden="false"/>
    </xf>
    <xf numFmtId="164" fontId="12" fillId="13" borderId="1" xfId="0" applyFont="true" applyBorder="true" applyAlignment="true" applyProtection="true">
      <alignment horizontal="center" vertical="center" textRotation="0" wrapText="true" indent="0" shrinkToFit="false"/>
      <protection locked="true" hidden="false"/>
    </xf>
    <xf numFmtId="166" fontId="5" fillId="11" borderId="1" xfId="0" applyFont="true" applyBorder="true" applyAlignment="true" applyProtection="true">
      <alignment horizontal="center" vertical="center" textRotation="0" wrapText="true" indent="0" shrinkToFit="false"/>
      <protection locked="true" hidden="false"/>
    </xf>
    <xf numFmtId="164" fontId="12" fillId="11" borderId="1" xfId="0" applyFont="true" applyBorder="true" applyAlignment="true" applyProtection="true">
      <alignment horizontal="center" vertical="center" textRotation="0" wrapText="true" indent="0" shrinkToFit="false"/>
      <protection locked="true" hidden="false"/>
    </xf>
    <xf numFmtId="164" fontId="5" fillId="10" borderId="1" xfId="0" applyFont="true" applyBorder="true" applyAlignment="true" applyProtection="true">
      <alignment horizontal="center" vertical="center" textRotation="0" wrapText="true" indent="0" shrinkToFit="false"/>
      <protection locked="true" hidden="false"/>
    </xf>
    <xf numFmtId="165" fontId="5" fillId="10" borderId="1" xfId="0" applyFont="true" applyBorder="true" applyAlignment="true" applyProtection="true">
      <alignment horizontal="center" vertical="center"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right" vertical="center" textRotation="0" wrapText="false" indent="0" shrinkToFit="false"/>
      <protection locked="true" hidden="false"/>
    </xf>
    <xf numFmtId="166" fontId="12" fillId="0" borderId="1" xfId="0" applyFont="true" applyBorder="true" applyAlignment="true" applyProtection="true">
      <alignment horizontal="center" vertical="center" textRotation="0" wrapText="true" indent="0" shrinkToFit="false"/>
      <protection locked="true" hidden="false"/>
    </xf>
    <xf numFmtId="165" fontId="12"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12" fillId="0" borderId="4" xfId="0" applyFont="true" applyBorder="true" applyAlignment="true" applyProtection="true">
      <alignment horizontal="right" vertical="center" textRotation="0" wrapText="false" indent="0" shrinkToFit="false"/>
      <protection locked="true" hidden="false"/>
    </xf>
    <xf numFmtId="165" fontId="12" fillId="8" borderId="1" xfId="0" applyFont="true" applyBorder="true" applyAlignment="true" applyProtection="true">
      <alignment horizontal="center" vertical="center" textRotation="0" wrapText="true" indent="0" shrinkToFit="false"/>
      <protection locked="true" hidden="false"/>
    </xf>
    <xf numFmtId="165" fontId="12" fillId="13" borderId="1" xfId="0" applyFont="true" applyBorder="true" applyAlignment="true" applyProtection="true">
      <alignment horizontal="center" vertical="center" textRotation="0" wrapText="true" indent="0" shrinkToFit="false"/>
      <protection locked="true" hidden="false"/>
    </xf>
    <xf numFmtId="165" fontId="12" fillId="11" borderId="1" xfId="0" applyFont="true" applyBorder="true" applyAlignment="true" applyProtection="true">
      <alignment horizontal="center" vertical="center" textRotation="0" wrapText="true" indent="0" shrinkToFit="false"/>
      <protection locked="true" hidden="false"/>
    </xf>
    <xf numFmtId="164" fontId="12" fillId="8" borderId="1" xfId="0" applyFont="true" applyBorder="true" applyAlignment="true" applyProtection="true">
      <alignment horizontal="left" vertical="top" textRotation="0" wrapText="true" indent="0" shrinkToFit="false"/>
      <protection locked="true" hidden="false"/>
    </xf>
    <xf numFmtId="165" fontId="5" fillId="8" borderId="1" xfId="0" applyFont="true" applyBorder="true" applyAlignment="true" applyProtection="true">
      <alignment horizontal="center" vertical="center" textRotation="0" wrapText="true" indent="0" shrinkToFit="false"/>
      <protection locked="true" hidden="false"/>
    </xf>
    <xf numFmtId="164" fontId="12" fillId="13" borderId="1" xfId="0" applyFont="true" applyBorder="true" applyAlignment="true" applyProtection="true">
      <alignment horizontal="left" vertical="top" textRotation="0" wrapText="true" indent="0" shrinkToFit="false"/>
      <protection locked="true" hidden="false"/>
    </xf>
    <xf numFmtId="164" fontId="5" fillId="13" borderId="1" xfId="0" applyFont="true" applyBorder="true" applyAlignment="true" applyProtection="true">
      <alignment horizontal="left" vertical="top" textRotation="0" wrapText="true" indent="0" shrinkToFit="false"/>
      <protection locked="true" hidden="false"/>
    </xf>
    <xf numFmtId="165" fontId="5" fillId="13" borderId="1" xfId="0" applyFont="true" applyBorder="true" applyAlignment="true" applyProtection="true">
      <alignment horizontal="center" vertical="center" textRotation="0" wrapText="true" indent="0" shrinkToFit="false"/>
      <protection locked="true" hidden="false"/>
    </xf>
    <xf numFmtId="164" fontId="12" fillId="11" borderId="1" xfId="0" applyFont="true" applyBorder="true" applyAlignment="true" applyProtection="true">
      <alignment horizontal="left" vertical="top" textRotation="0" wrapText="true" indent="0" shrinkToFit="false"/>
      <protection locked="true" hidden="false"/>
    </xf>
    <xf numFmtId="165" fontId="5" fillId="11" borderId="1" xfId="0" applyFont="true" applyBorder="true" applyAlignment="true" applyProtection="true">
      <alignment horizontal="center" vertical="center" textRotation="0" wrapText="tru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2E75B6"/>
      <rgbColor rgb="FFD9D2E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CE4D6"/>
      <rgbColor rgb="FFCC99FF"/>
      <rgbColor rgb="FFF8CBAD"/>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0"/>
    <col collapsed="false" customWidth="true" hidden="false" outlineLevel="0" max="3" min="3" style="1" width="30"/>
    <col collapsed="false" customWidth="true" hidden="false" outlineLevel="0" max="4" min="4" style="1" width="22"/>
    <col collapsed="false" customWidth="true" hidden="false" outlineLevel="0" max="5" min="5" style="1" width="16"/>
  </cols>
  <sheetData>
    <row r="1" customFormat="false" ht="31.5" hidden="false" customHeight="true" outlineLevel="0" collapsed="false">
      <c r="A1" s="2" t="s">
        <v>0</v>
      </c>
      <c r="B1" s="2"/>
      <c r="C1" s="2"/>
      <c r="D1" s="2"/>
      <c r="E1" s="2"/>
      <c r="F1" s="2"/>
      <c r="G1" s="2"/>
    </row>
    <row r="3" customFormat="false" ht="64.5" hidden="false" customHeight="true" outlineLevel="0" collapsed="false">
      <c r="A3" s="3" t="s">
        <v>1</v>
      </c>
      <c r="B3" s="3"/>
      <c r="C3" s="3"/>
      <c r="D3" s="3"/>
      <c r="E3" s="3"/>
      <c r="F3" s="3"/>
      <c r="G3" s="3"/>
    </row>
    <row r="4" customFormat="false" ht="19.5" hidden="false" customHeight="true" outlineLevel="0" collapsed="false">
      <c r="A4" s="4" t="s">
        <v>2</v>
      </c>
      <c r="B4" s="4"/>
      <c r="C4" s="4"/>
      <c r="D4" s="4"/>
      <c r="E4" s="4"/>
      <c r="F4" s="4"/>
      <c r="G4" s="4"/>
    </row>
    <row r="5" customFormat="false" ht="24" hidden="false" customHeight="true" outlineLevel="0" collapsed="false">
      <c r="A5" s="5" t="s">
        <v>3</v>
      </c>
      <c r="B5" s="5" t="s">
        <v>4</v>
      </c>
    </row>
    <row r="6" customFormat="false" ht="45" hidden="false" customHeight="true" outlineLevel="0" collapsed="false">
      <c r="A6" s="6" t="s">
        <v>5</v>
      </c>
      <c r="B6" s="6" t="s">
        <v>6</v>
      </c>
    </row>
    <row r="7" customFormat="false" ht="45" hidden="false" customHeight="true" outlineLevel="0" collapsed="false">
      <c r="A7" s="7" t="s">
        <v>7</v>
      </c>
      <c r="B7" s="7" t="s">
        <v>8</v>
      </c>
    </row>
    <row r="8" customFormat="false" ht="60" hidden="false" customHeight="true" outlineLevel="0" collapsed="false">
      <c r="A8" s="8" t="s">
        <v>9</v>
      </c>
      <c r="B8" s="8" t="s">
        <v>10</v>
      </c>
    </row>
    <row r="9" customFormat="false" ht="30" hidden="false" customHeight="true" outlineLevel="0" collapsed="false">
      <c r="A9" s="9" t="s">
        <v>11</v>
      </c>
      <c r="B9" s="9" t="s">
        <v>12</v>
      </c>
    </row>
    <row r="11" customFormat="false" ht="19.5" hidden="false" customHeight="true" outlineLevel="0" collapsed="false">
      <c r="A11" s="4" t="s">
        <v>13</v>
      </c>
      <c r="B11" s="4"/>
      <c r="C11" s="4"/>
      <c r="D11" s="4"/>
      <c r="E11" s="4"/>
      <c r="F11" s="4"/>
      <c r="G11" s="4"/>
    </row>
    <row r="12" customFormat="false" ht="24" hidden="false" customHeight="true" outlineLevel="0" collapsed="false">
      <c r="A12" s="5" t="s">
        <v>14</v>
      </c>
      <c r="B12" s="5" t="s">
        <v>15</v>
      </c>
      <c r="C12" s="5" t="s">
        <v>16</v>
      </c>
      <c r="D12" s="5" t="s">
        <v>17</v>
      </c>
      <c r="E12" s="5" t="s">
        <v>3</v>
      </c>
    </row>
    <row r="13" customFormat="false" ht="99.75" hidden="false" customHeight="true" outlineLevel="0" collapsed="false">
      <c r="A13" s="6" t="s">
        <v>18</v>
      </c>
      <c r="B13" s="6" t="s">
        <v>19</v>
      </c>
      <c r="C13" s="6" t="s">
        <v>20</v>
      </c>
      <c r="D13" s="6" t="s">
        <v>21</v>
      </c>
      <c r="E13" s="6" t="s">
        <v>5</v>
      </c>
    </row>
    <row r="14" customFormat="false" ht="99.75" hidden="false" customHeight="true" outlineLevel="0" collapsed="false">
      <c r="A14" s="6" t="s">
        <v>22</v>
      </c>
      <c r="B14" s="6" t="s">
        <v>23</v>
      </c>
      <c r="C14" s="6" t="s">
        <v>24</v>
      </c>
      <c r="D14" s="6" t="s">
        <v>25</v>
      </c>
      <c r="E14" s="6" t="s">
        <v>7</v>
      </c>
    </row>
    <row r="15" customFormat="false" ht="90" hidden="false" customHeight="true" outlineLevel="0" collapsed="false">
      <c r="A15" s="6" t="s">
        <v>26</v>
      </c>
      <c r="B15" s="6" t="s">
        <v>27</v>
      </c>
      <c r="C15" s="6" t="s">
        <v>28</v>
      </c>
      <c r="D15" s="6" t="s">
        <v>29</v>
      </c>
      <c r="E15" s="6" t="s">
        <v>5</v>
      </c>
    </row>
    <row r="16" customFormat="false" ht="99.75" hidden="false" customHeight="true" outlineLevel="0" collapsed="false">
      <c r="A16" s="6" t="s">
        <v>30</v>
      </c>
      <c r="B16" s="6" t="s">
        <v>31</v>
      </c>
      <c r="C16" s="6" t="s">
        <v>32</v>
      </c>
      <c r="D16" s="6" t="s">
        <v>33</v>
      </c>
      <c r="E16" s="6" t="s">
        <v>5</v>
      </c>
    </row>
    <row r="18" customFormat="false" ht="19.5" hidden="false" customHeight="true" outlineLevel="0" collapsed="false">
      <c r="A18" s="4" t="s">
        <v>34</v>
      </c>
      <c r="B18" s="4"/>
      <c r="C18" s="4"/>
      <c r="D18" s="4"/>
      <c r="E18" s="4"/>
      <c r="F18" s="4"/>
      <c r="G18" s="4"/>
    </row>
    <row r="19" customFormat="false" ht="24" hidden="false" customHeight="true" outlineLevel="0" collapsed="false">
      <c r="A19" s="5" t="s">
        <v>35</v>
      </c>
      <c r="B19" s="5" t="s">
        <v>36</v>
      </c>
      <c r="C19" s="5" t="s">
        <v>37</v>
      </c>
    </row>
    <row r="20" customFormat="false" ht="45" hidden="false" customHeight="true" outlineLevel="0" collapsed="false">
      <c r="A20" s="7" t="s">
        <v>38</v>
      </c>
      <c r="B20" s="7" t="s">
        <v>39</v>
      </c>
      <c r="C20" s="7" t="s">
        <v>40</v>
      </c>
    </row>
    <row r="21" customFormat="false" ht="60" hidden="false" customHeight="true" outlineLevel="0" collapsed="false">
      <c r="A21" s="7" t="s">
        <v>41</v>
      </c>
      <c r="B21" s="7" t="s">
        <v>42</v>
      </c>
      <c r="C21" s="7" t="s">
        <v>40</v>
      </c>
    </row>
    <row r="22" customFormat="false" ht="75" hidden="false" customHeight="true" outlineLevel="0" collapsed="false">
      <c r="A22" s="7" t="s">
        <v>43</v>
      </c>
      <c r="B22" s="7" t="s">
        <v>44</v>
      </c>
      <c r="C22" s="7" t="s">
        <v>45</v>
      </c>
    </row>
    <row r="23" customFormat="false" ht="60" hidden="false" customHeight="true" outlineLevel="0" collapsed="false">
      <c r="A23" s="7" t="s">
        <v>46</v>
      </c>
      <c r="B23" s="7" t="s">
        <v>47</v>
      </c>
      <c r="C23" s="7" t="s">
        <v>48</v>
      </c>
    </row>
    <row r="24" customFormat="false" ht="60" hidden="false" customHeight="true" outlineLevel="0" collapsed="false">
      <c r="A24" s="7" t="s">
        <v>49</v>
      </c>
      <c r="B24" s="7" t="s">
        <v>50</v>
      </c>
      <c r="C24" s="7" t="s">
        <v>40</v>
      </c>
    </row>
    <row r="26" customFormat="false" ht="19.5" hidden="false" customHeight="true" outlineLevel="0" collapsed="false">
      <c r="A26" s="4" t="s">
        <v>51</v>
      </c>
      <c r="B26" s="4"/>
      <c r="C26" s="4"/>
      <c r="D26" s="4"/>
      <c r="E26" s="4"/>
      <c r="F26" s="4"/>
      <c r="G26" s="4"/>
    </row>
    <row r="27" customFormat="false" ht="39.75" hidden="false" customHeight="true" outlineLevel="0" collapsed="false">
      <c r="A27" s="3" t="s">
        <v>52</v>
      </c>
      <c r="B27" s="3"/>
      <c r="C27" s="3"/>
      <c r="D27" s="3"/>
      <c r="E27" s="3"/>
      <c r="F27" s="3"/>
      <c r="G27" s="3"/>
    </row>
    <row r="28" customFormat="false" ht="54.75" hidden="false" customHeight="true" outlineLevel="0" collapsed="false">
      <c r="A28" s="3" t="s">
        <v>53</v>
      </c>
      <c r="B28" s="3"/>
      <c r="C28" s="3"/>
      <c r="D28" s="3"/>
      <c r="E28" s="3"/>
      <c r="F28" s="3"/>
      <c r="G28" s="3"/>
    </row>
    <row r="29" customFormat="false" ht="45" hidden="false" customHeight="true" outlineLevel="0" collapsed="false">
      <c r="A29" s="3" t="s">
        <v>54</v>
      </c>
      <c r="B29" s="3"/>
      <c r="C29" s="3"/>
      <c r="D29" s="3"/>
      <c r="E29" s="3"/>
      <c r="F29" s="3"/>
      <c r="G29" s="3"/>
    </row>
    <row r="30" customFormat="false" ht="19.5" hidden="false" customHeight="true" outlineLevel="0" collapsed="false">
      <c r="A30" s="4" t="s">
        <v>55</v>
      </c>
      <c r="B30" s="4"/>
      <c r="C30" s="4"/>
      <c r="D30" s="4"/>
      <c r="E30" s="4"/>
      <c r="F30" s="4"/>
      <c r="G30" s="4"/>
    </row>
    <row r="31" customFormat="false" ht="24" hidden="false" customHeight="true" outlineLevel="0" collapsed="false">
      <c r="A31" s="5" t="s">
        <v>56</v>
      </c>
      <c r="B31" s="5" t="s">
        <v>36</v>
      </c>
    </row>
    <row r="32" customFormat="false" ht="99.75" hidden="false" customHeight="true" outlineLevel="0" collapsed="false">
      <c r="A32" s="7" t="s">
        <v>57</v>
      </c>
      <c r="B32" s="7" t="s">
        <v>58</v>
      </c>
    </row>
    <row r="33" customFormat="false" ht="60" hidden="false" customHeight="true" outlineLevel="0" collapsed="false">
      <c r="A33" s="7" t="s">
        <v>59</v>
      </c>
      <c r="B33" s="7" t="s">
        <v>60</v>
      </c>
    </row>
  </sheetData>
  <mergeCells count="10">
    <mergeCell ref="A1:G1"/>
    <mergeCell ref="A3:G3"/>
    <mergeCell ref="A4:G4"/>
    <mergeCell ref="A11:G11"/>
    <mergeCell ref="A18:G18"/>
    <mergeCell ref="A26:G26"/>
    <mergeCell ref="A27:G27"/>
    <mergeCell ref="A28:G28"/>
    <mergeCell ref="A29:G29"/>
    <mergeCell ref="A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6" min="2" style="1" width="16"/>
  </cols>
  <sheetData>
    <row r="1" customFormat="false" ht="31.5" hidden="false" customHeight="true" outlineLevel="0" collapsed="false">
      <c r="A1" s="10" t="s">
        <v>61</v>
      </c>
      <c r="B1" s="10"/>
      <c r="C1" s="10"/>
      <c r="D1" s="10"/>
      <c r="E1" s="10"/>
      <c r="F1" s="10"/>
    </row>
    <row r="2" customFormat="false" ht="15" hidden="false" customHeight="true" outlineLevel="0" collapsed="false">
      <c r="A2" s="11" t="s">
        <v>62</v>
      </c>
      <c r="B2" s="11"/>
      <c r="C2" s="11"/>
      <c r="D2" s="11"/>
      <c r="E2" s="11"/>
      <c r="F2" s="11"/>
    </row>
    <row r="4" customFormat="false" ht="19.5" hidden="false" customHeight="true" outlineLevel="0" collapsed="false">
      <c r="A4" s="4" t="s">
        <v>63</v>
      </c>
      <c r="B4" s="4"/>
      <c r="C4" s="4"/>
      <c r="D4" s="4"/>
      <c r="E4" s="4"/>
      <c r="F4" s="4"/>
    </row>
    <row r="5" customFormat="false" ht="69.75" hidden="false" customHeight="true" outlineLevel="0" collapsed="false">
      <c r="A5" s="3" t="s">
        <v>64</v>
      </c>
      <c r="B5" s="3"/>
      <c r="C5" s="3"/>
      <c r="D5" s="3"/>
      <c r="E5" s="3"/>
      <c r="F5" s="3"/>
    </row>
    <row r="6" customFormat="false" ht="54.75" hidden="false" customHeight="true" outlineLevel="0" collapsed="false">
      <c r="A6" s="3" t="s">
        <v>65</v>
      </c>
      <c r="B6" s="3"/>
      <c r="C6" s="3"/>
      <c r="D6" s="3"/>
      <c r="E6" s="3"/>
      <c r="F6" s="3"/>
    </row>
    <row r="7" customFormat="false" ht="19.5" hidden="false" customHeight="true" outlineLevel="0" collapsed="false">
      <c r="A7" s="4" t="s">
        <v>66</v>
      </c>
      <c r="B7" s="4"/>
      <c r="C7" s="4"/>
      <c r="D7" s="4"/>
      <c r="E7" s="4"/>
      <c r="F7" s="4"/>
    </row>
    <row r="8" customFormat="false" ht="18" hidden="false" customHeight="true" outlineLevel="0" collapsed="false">
      <c r="A8" s="3" t="s">
        <v>67</v>
      </c>
      <c r="B8" s="3"/>
      <c r="C8" s="3"/>
      <c r="D8" s="3"/>
      <c r="E8" s="3"/>
      <c r="F8" s="3"/>
    </row>
    <row r="9" customFormat="false" ht="21.75" hidden="false" customHeight="true" outlineLevel="0" collapsed="false">
      <c r="A9" s="5" t="s">
        <v>68</v>
      </c>
      <c r="B9" s="5" t="s">
        <v>69</v>
      </c>
      <c r="C9" s="5" t="s">
        <v>70</v>
      </c>
    </row>
    <row r="10" customFormat="false" ht="75" hidden="false" customHeight="true" outlineLevel="0" collapsed="false">
      <c r="A10" s="12" t="s">
        <v>71</v>
      </c>
      <c r="B10" s="12" t="s">
        <v>72</v>
      </c>
      <c r="C10" s="12" t="s">
        <v>73</v>
      </c>
    </row>
    <row r="11" customFormat="false" ht="75" hidden="false" customHeight="true" outlineLevel="0" collapsed="false">
      <c r="A11" s="13" t="s">
        <v>74</v>
      </c>
      <c r="B11" s="13" t="s">
        <v>75</v>
      </c>
      <c r="C11" s="13" t="s">
        <v>76</v>
      </c>
    </row>
    <row r="12" customFormat="false" ht="75" hidden="false" customHeight="true" outlineLevel="0" collapsed="false">
      <c r="A12" s="12" t="s">
        <v>77</v>
      </c>
      <c r="B12" s="12" t="s">
        <v>78</v>
      </c>
      <c r="C12" s="12" t="s">
        <v>79</v>
      </c>
    </row>
    <row r="14" customFormat="false" ht="49.5" hidden="false" customHeight="true" outlineLevel="0" collapsed="false">
      <c r="A14" s="3" t="s">
        <v>80</v>
      </c>
      <c r="B14" s="3"/>
      <c r="C14" s="3"/>
      <c r="D14" s="3"/>
      <c r="E14" s="3"/>
      <c r="F14" s="3"/>
    </row>
    <row r="16" customFormat="false" ht="45" hidden="false" customHeight="true" outlineLevel="0" collapsed="false">
      <c r="A16" s="14" t="s">
        <v>81</v>
      </c>
      <c r="B16" s="14"/>
      <c r="C16" s="14"/>
      <c r="D16" s="14"/>
      <c r="E16" s="14"/>
      <c r="F16" s="14"/>
    </row>
  </sheetData>
  <mergeCells count="9">
    <mergeCell ref="A1:F1"/>
    <mergeCell ref="A2:F2"/>
    <mergeCell ref="A4:F4"/>
    <mergeCell ref="A5:F5"/>
    <mergeCell ref="A6:F6"/>
    <mergeCell ref="A7:F7"/>
    <mergeCell ref="A8:F8"/>
    <mergeCell ref="A14:F14"/>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5"/>
  </cols>
  <sheetData>
    <row r="1" customFormat="false" ht="30" hidden="false" customHeight="true" outlineLevel="0" collapsed="false">
      <c r="A1" s="10" t="s">
        <v>82</v>
      </c>
      <c r="B1" s="10"/>
      <c r="C1" s="10"/>
      <c r="D1" s="10"/>
      <c r="E1" s="10"/>
      <c r="F1" s="10"/>
    </row>
    <row r="3" customFormat="false" ht="19.5" hidden="false" customHeight="true" outlineLevel="0" collapsed="false">
      <c r="A3" s="4" t="s">
        <v>83</v>
      </c>
      <c r="B3" s="4"/>
      <c r="C3" s="4"/>
      <c r="D3" s="4"/>
      <c r="E3" s="4"/>
      <c r="F3" s="4"/>
    </row>
    <row r="4" customFormat="false" ht="69.75" hidden="false" customHeight="true" outlineLevel="0" collapsed="false">
      <c r="A4" s="3" t="s">
        <v>84</v>
      </c>
      <c r="B4" s="3"/>
      <c r="C4" s="3"/>
      <c r="D4" s="3"/>
      <c r="E4" s="3"/>
      <c r="F4" s="3"/>
    </row>
    <row r="5" customFormat="false" ht="19.5" hidden="false" customHeight="true" outlineLevel="0" collapsed="false">
      <c r="A5" s="4" t="s">
        <v>85</v>
      </c>
      <c r="B5" s="4"/>
      <c r="C5" s="4"/>
      <c r="D5" s="4"/>
      <c r="E5" s="4"/>
      <c r="F5" s="4"/>
    </row>
    <row r="6" customFormat="false" ht="21.75" hidden="false" customHeight="true" outlineLevel="0" collapsed="false">
      <c r="A6" s="5" t="s">
        <v>86</v>
      </c>
      <c r="B6" s="5" t="s">
        <v>36</v>
      </c>
    </row>
    <row r="7" customFormat="false" ht="75" hidden="false" customHeight="true" outlineLevel="0" collapsed="false">
      <c r="A7" s="12" t="s">
        <v>87</v>
      </c>
      <c r="B7" s="12" t="s">
        <v>88</v>
      </c>
    </row>
    <row r="8" customFormat="false" ht="90" hidden="false" customHeight="true" outlineLevel="0" collapsed="false">
      <c r="A8" s="13" t="s">
        <v>89</v>
      </c>
      <c r="B8" s="13" t="s">
        <v>90</v>
      </c>
    </row>
    <row r="9" customFormat="false" ht="90" hidden="false" customHeight="true" outlineLevel="0" collapsed="false">
      <c r="A9" s="12" t="s">
        <v>91</v>
      </c>
      <c r="B9" s="12" t="s">
        <v>92</v>
      </c>
    </row>
    <row r="10" customFormat="false" ht="90" hidden="false" customHeight="true" outlineLevel="0" collapsed="false">
      <c r="A10" s="13" t="s">
        <v>93</v>
      </c>
      <c r="B10" s="13" t="s">
        <v>94</v>
      </c>
    </row>
    <row r="12" customFormat="false" ht="19.5" hidden="false" customHeight="true" outlineLevel="0" collapsed="false">
      <c r="A12" s="4" t="s">
        <v>95</v>
      </c>
      <c r="B12" s="4"/>
      <c r="C12" s="4"/>
      <c r="D12" s="4"/>
      <c r="E12" s="4"/>
      <c r="F12" s="4"/>
    </row>
    <row r="13" customFormat="false" ht="18" hidden="false" customHeight="true" outlineLevel="0" collapsed="false">
      <c r="A13" s="3" t="s">
        <v>96</v>
      </c>
      <c r="B13" s="3"/>
      <c r="C13" s="3"/>
      <c r="D13" s="3"/>
      <c r="E13" s="3"/>
      <c r="F13" s="3"/>
    </row>
    <row r="14" customFormat="false" ht="21.75" hidden="false" customHeight="true" outlineLevel="0" collapsed="false">
      <c r="A14" s="5" t="s">
        <v>97</v>
      </c>
      <c r="B14" s="5" t="s">
        <v>70</v>
      </c>
    </row>
    <row r="15" customFormat="false" ht="15" hidden="false" customHeight="true" outlineLevel="0" collapsed="false">
      <c r="A15" s="12" t="s">
        <v>98</v>
      </c>
      <c r="B15" s="12" t="s">
        <v>99</v>
      </c>
    </row>
    <row r="16" customFormat="false" ht="30" hidden="false" customHeight="true" outlineLevel="0" collapsed="false">
      <c r="A16" s="13" t="s">
        <v>100</v>
      </c>
      <c r="B16" s="13" t="s">
        <v>101</v>
      </c>
    </row>
    <row r="17" customFormat="false" ht="30" hidden="false" customHeight="true" outlineLevel="0" collapsed="false">
      <c r="A17" s="12" t="s">
        <v>102</v>
      </c>
      <c r="B17" s="12" t="s">
        <v>103</v>
      </c>
    </row>
  </sheetData>
  <mergeCells count="6">
    <mergeCell ref="A1:F1"/>
    <mergeCell ref="A3:F3"/>
    <mergeCell ref="A4:F4"/>
    <mergeCell ref="A5:F5"/>
    <mergeCell ref="A12:F12"/>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5"/>
  </cols>
  <sheetData>
    <row r="1" customFormat="false" ht="30" hidden="false" customHeight="true" outlineLevel="0" collapsed="false">
      <c r="A1" s="10" t="s">
        <v>104</v>
      </c>
      <c r="B1" s="10"/>
      <c r="C1" s="10"/>
      <c r="D1" s="10"/>
      <c r="E1" s="10"/>
      <c r="F1" s="10"/>
    </row>
    <row r="3" customFormat="false" ht="60" hidden="false" customHeight="true" outlineLevel="0" collapsed="false">
      <c r="A3" s="3" t="s">
        <v>105</v>
      </c>
      <c r="B3" s="3"/>
      <c r="C3" s="3"/>
      <c r="D3" s="3"/>
      <c r="E3" s="3"/>
      <c r="F3" s="3"/>
    </row>
    <row r="4" customFormat="false" ht="19.5" hidden="false" customHeight="true" outlineLevel="0" collapsed="false">
      <c r="A4" s="4" t="s">
        <v>106</v>
      </c>
      <c r="B4" s="4"/>
      <c r="C4" s="4"/>
      <c r="D4" s="4"/>
      <c r="E4" s="4"/>
      <c r="F4" s="4"/>
    </row>
    <row r="5" customFormat="false" ht="21.75" hidden="false" customHeight="true" outlineLevel="0" collapsed="false">
      <c r="A5" s="15" t="s">
        <v>107</v>
      </c>
      <c r="B5" s="15"/>
      <c r="C5" s="15"/>
      <c r="D5" s="15"/>
      <c r="E5" s="15"/>
      <c r="F5" s="15"/>
    </row>
    <row r="7" customFormat="false" ht="19.5" hidden="false" customHeight="true" outlineLevel="0" collapsed="false">
      <c r="A7" s="4" t="s">
        <v>108</v>
      </c>
      <c r="B7" s="4"/>
      <c r="C7" s="4"/>
      <c r="D7" s="4"/>
      <c r="E7" s="4"/>
      <c r="F7" s="4"/>
    </row>
    <row r="8" customFormat="false" ht="21.75" hidden="false" customHeight="true" outlineLevel="0" collapsed="false">
      <c r="A8" s="5" t="s">
        <v>109</v>
      </c>
      <c r="B8" s="5" t="s">
        <v>110</v>
      </c>
    </row>
    <row r="9" customFormat="false" ht="30" hidden="false" customHeight="true" outlineLevel="0" collapsed="false">
      <c r="A9" s="12" t="s">
        <v>111</v>
      </c>
      <c r="B9" s="12" t="s">
        <v>112</v>
      </c>
    </row>
    <row r="10" customFormat="false" ht="45" hidden="false" customHeight="true" outlineLevel="0" collapsed="false">
      <c r="A10" s="13" t="s">
        <v>113</v>
      </c>
      <c r="B10" s="13" t="s">
        <v>114</v>
      </c>
    </row>
    <row r="11" customFormat="false" ht="45" hidden="false" customHeight="true" outlineLevel="0" collapsed="false">
      <c r="A11" s="12" t="s">
        <v>115</v>
      </c>
      <c r="B11" s="12" t="s">
        <v>116</v>
      </c>
    </row>
    <row r="13" customFormat="false" ht="31.5" hidden="false" customHeight="true" outlineLevel="0" collapsed="false">
      <c r="A13" s="3" t="s">
        <v>117</v>
      </c>
      <c r="B13" s="3"/>
      <c r="C13" s="3"/>
      <c r="D13" s="3"/>
      <c r="E13" s="3"/>
      <c r="F13" s="3"/>
    </row>
    <row r="15" customFormat="false" ht="90" hidden="false" customHeight="true" outlineLevel="0" collapsed="false">
      <c r="A15" s="16" t="s">
        <v>118</v>
      </c>
      <c r="B15" s="16"/>
      <c r="C15" s="16"/>
      <c r="D15" s="16"/>
      <c r="E15" s="16"/>
      <c r="F15" s="16"/>
    </row>
  </sheetData>
  <mergeCells count="7">
    <mergeCell ref="A1:F1"/>
    <mergeCell ref="A3:F3"/>
    <mergeCell ref="A4:F4"/>
    <mergeCell ref="A5:F5"/>
    <mergeCell ref="A7:F7"/>
    <mergeCell ref="A13:F13"/>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0"/>
  </cols>
  <sheetData>
    <row r="1" customFormat="false" ht="30" hidden="false" customHeight="true" outlineLevel="0" collapsed="false">
      <c r="A1" s="10" t="s">
        <v>119</v>
      </c>
      <c r="B1" s="10"/>
      <c r="C1" s="10"/>
      <c r="D1" s="10"/>
      <c r="E1" s="10"/>
      <c r="F1" s="10"/>
    </row>
    <row r="3" customFormat="false" ht="31.5" hidden="false" customHeight="true" outlineLevel="0" collapsed="false">
      <c r="A3" s="3" t="s">
        <v>120</v>
      </c>
      <c r="B3" s="3"/>
      <c r="C3" s="3"/>
      <c r="D3" s="3"/>
      <c r="E3" s="3"/>
      <c r="F3" s="3"/>
    </row>
    <row r="4" customFormat="false" ht="21.75" hidden="false" customHeight="true" outlineLevel="0" collapsed="false">
      <c r="A4" s="5" t="s">
        <v>86</v>
      </c>
      <c r="B4" s="5" t="s">
        <v>36</v>
      </c>
    </row>
    <row r="5" customFormat="false" ht="45" hidden="false" customHeight="true" outlineLevel="0" collapsed="false">
      <c r="A5" s="12" t="s">
        <v>121</v>
      </c>
      <c r="B5" s="12" t="s">
        <v>122</v>
      </c>
    </row>
    <row r="6" customFormat="false" ht="30" hidden="false" customHeight="true" outlineLevel="0" collapsed="false">
      <c r="A6" s="13" t="s">
        <v>123</v>
      </c>
      <c r="B6" s="13" t="s">
        <v>124</v>
      </c>
    </row>
    <row r="7" customFormat="false" ht="60" hidden="false" customHeight="true" outlineLevel="0" collapsed="false">
      <c r="A7" s="12" t="s">
        <v>125</v>
      </c>
      <c r="B7" s="7" t="s">
        <v>126</v>
      </c>
    </row>
    <row r="9" customFormat="false" ht="99.75" hidden="false" customHeight="true" outlineLevel="0" collapsed="false">
      <c r="A9" s="17" t="s">
        <v>127</v>
      </c>
      <c r="B9" s="17"/>
      <c r="C9" s="17"/>
      <c r="D9" s="17"/>
      <c r="E9" s="17"/>
      <c r="F9" s="17"/>
    </row>
    <row r="10" customFormat="false" ht="54.75" hidden="false" customHeight="true" outlineLevel="0" collapsed="false">
      <c r="A10" s="3" t="s">
        <v>128</v>
      </c>
      <c r="B10" s="3"/>
      <c r="C10" s="3"/>
      <c r="D10" s="3"/>
      <c r="E10" s="3"/>
      <c r="F10" s="3"/>
    </row>
    <row r="12" customFormat="false" ht="19.5" hidden="false" customHeight="true" outlineLevel="0" collapsed="false">
      <c r="A12" s="4" t="s">
        <v>129</v>
      </c>
      <c r="B12" s="4"/>
      <c r="C12" s="4"/>
      <c r="D12" s="4"/>
      <c r="E12" s="4"/>
      <c r="F12" s="4"/>
    </row>
    <row r="13" customFormat="false" ht="39.75" hidden="false" customHeight="true" outlineLevel="0" collapsed="false">
      <c r="A13" s="3" t="s">
        <v>130</v>
      </c>
      <c r="B13" s="3"/>
      <c r="C13" s="3"/>
      <c r="D13" s="3"/>
      <c r="E13" s="3"/>
      <c r="F13" s="3"/>
    </row>
    <row r="14" customFormat="false" ht="21.75" hidden="false" customHeight="true" outlineLevel="0" collapsed="false">
      <c r="A14" s="5" t="s">
        <v>131</v>
      </c>
      <c r="B14" s="5" t="s">
        <v>35</v>
      </c>
    </row>
    <row r="15" customFormat="false" ht="99.75" hidden="false" customHeight="true" outlineLevel="0" collapsed="false">
      <c r="A15" s="12" t="s">
        <v>132</v>
      </c>
      <c r="B15" s="8" t="s">
        <v>133</v>
      </c>
    </row>
    <row r="16" customFormat="false" ht="90" hidden="false" customHeight="true" outlineLevel="0" collapsed="false">
      <c r="A16" s="13" t="s">
        <v>134</v>
      </c>
      <c r="B16" s="13" t="s">
        <v>135</v>
      </c>
    </row>
    <row r="17" customFormat="false" ht="75" hidden="false" customHeight="true" outlineLevel="0" collapsed="false">
      <c r="A17" s="12" t="s">
        <v>136</v>
      </c>
      <c r="B17" s="12" t="s">
        <v>137</v>
      </c>
    </row>
    <row r="18" customFormat="false" ht="90" hidden="false" customHeight="true" outlineLevel="0" collapsed="false">
      <c r="A18" s="13" t="s">
        <v>138</v>
      </c>
      <c r="B18" s="13" t="s">
        <v>139</v>
      </c>
    </row>
    <row r="19" customFormat="false" ht="75" hidden="false" customHeight="true" outlineLevel="0" collapsed="false">
      <c r="A19" s="12" t="s">
        <v>140</v>
      </c>
      <c r="B19" s="12" t="s">
        <v>141</v>
      </c>
    </row>
    <row r="21" customFormat="false" ht="45" hidden="false" customHeight="true" outlineLevel="0" collapsed="false">
      <c r="A21" s="3" t="s">
        <v>142</v>
      </c>
      <c r="B21" s="3"/>
      <c r="C21" s="3"/>
      <c r="D21" s="3"/>
      <c r="E21" s="3"/>
      <c r="F21" s="3"/>
    </row>
    <row r="23" customFormat="false" ht="54.75" hidden="false" customHeight="true" outlineLevel="0" collapsed="false">
      <c r="A23" s="3" t="s">
        <v>143</v>
      </c>
      <c r="B23" s="3"/>
      <c r="C23" s="3"/>
      <c r="D23" s="3"/>
      <c r="E23" s="3"/>
      <c r="F23" s="3"/>
    </row>
    <row r="25" customFormat="false" ht="64.5" hidden="false" customHeight="true" outlineLevel="0" collapsed="false">
      <c r="A25" s="17" t="s">
        <v>144</v>
      </c>
      <c r="B25" s="17"/>
      <c r="C25" s="17"/>
      <c r="D25" s="17"/>
      <c r="E25" s="17"/>
      <c r="F25" s="17"/>
    </row>
  </sheetData>
  <mergeCells count="9">
    <mergeCell ref="A1:F1"/>
    <mergeCell ref="A3:F3"/>
    <mergeCell ref="A9:F9"/>
    <mergeCell ref="A10:F10"/>
    <mergeCell ref="A12:F12"/>
    <mergeCell ref="A13:F13"/>
    <mergeCell ref="A21:F21"/>
    <mergeCell ref="A23:F23"/>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0"/>
  </cols>
  <sheetData>
    <row r="1" customFormat="false" ht="30" hidden="false" customHeight="true" outlineLevel="0" collapsed="false">
      <c r="A1" s="10" t="s">
        <v>145</v>
      </c>
      <c r="B1" s="10"/>
      <c r="C1" s="10"/>
      <c r="D1" s="10"/>
      <c r="E1" s="10"/>
      <c r="F1" s="10"/>
    </row>
    <row r="3" customFormat="false" ht="31.5" hidden="false" customHeight="true" outlineLevel="0" collapsed="false">
      <c r="A3" s="3" t="s">
        <v>146</v>
      </c>
      <c r="B3" s="3"/>
      <c r="C3" s="3"/>
      <c r="D3" s="3"/>
      <c r="E3" s="3"/>
      <c r="F3" s="3"/>
    </row>
    <row r="4" customFormat="false" ht="21.75" hidden="false" customHeight="true" outlineLevel="0" collapsed="false">
      <c r="A4" s="5" t="s">
        <v>123</v>
      </c>
      <c r="B4" s="5" t="s">
        <v>70</v>
      </c>
    </row>
    <row r="5" customFormat="false" ht="90" hidden="false" customHeight="true" outlineLevel="0" collapsed="false">
      <c r="A5" s="12" t="s">
        <v>147</v>
      </c>
      <c r="B5" s="12" t="s">
        <v>148</v>
      </c>
    </row>
    <row r="6" customFormat="false" ht="90" hidden="false" customHeight="true" outlineLevel="0" collapsed="false">
      <c r="A6" s="13" t="s">
        <v>149</v>
      </c>
      <c r="B6" s="13" t="s">
        <v>150</v>
      </c>
    </row>
    <row r="8" customFormat="false" ht="19.5" hidden="false" customHeight="true" outlineLevel="0" collapsed="false">
      <c r="A8" s="4" t="s">
        <v>151</v>
      </c>
      <c r="B8" s="4"/>
      <c r="C8" s="4"/>
      <c r="D8" s="4"/>
      <c r="E8" s="4"/>
      <c r="F8" s="4"/>
    </row>
    <row r="9" customFormat="false" ht="45" hidden="false" customHeight="true" outlineLevel="0" collapsed="false">
      <c r="A9" s="3" t="s">
        <v>152</v>
      </c>
      <c r="B9" s="3"/>
      <c r="C9" s="3"/>
      <c r="D9" s="3"/>
      <c r="E9" s="3"/>
      <c r="F9" s="3"/>
    </row>
    <row r="10" customFormat="false" ht="31.5" hidden="false" customHeight="true" outlineLevel="0" collapsed="false">
      <c r="A10" s="18" t="s">
        <v>153</v>
      </c>
      <c r="B10" s="18"/>
      <c r="C10" s="18"/>
      <c r="D10" s="18"/>
      <c r="E10" s="18"/>
      <c r="F10" s="18"/>
    </row>
    <row r="12" customFormat="false" ht="69.75" hidden="false" customHeight="true" outlineLevel="0" collapsed="false">
      <c r="A12" s="3" t="s">
        <v>154</v>
      </c>
      <c r="B12" s="3"/>
      <c r="C12" s="3"/>
      <c r="D12" s="3"/>
      <c r="E12" s="3"/>
      <c r="F12" s="3"/>
    </row>
  </sheetData>
  <mergeCells count="6">
    <mergeCell ref="A1:F1"/>
    <mergeCell ref="A3:F3"/>
    <mergeCell ref="A8:F8"/>
    <mergeCell ref="A9:F9"/>
    <mergeCell ref="A10:F10"/>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40"/>
    <col collapsed="false" customWidth="true" hidden="false" outlineLevel="0" max="4" min="4" style="1" width="16"/>
  </cols>
  <sheetData>
    <row r="1" customFormat="false" ht="31.5" hidden="false" customHeight="true" outlineLevel="0" collapsed="false">
      <c r="A1" s="10" t="s">
        <v>155</v>
      </c>
      <c r="B1" s="10"/>
      <c r="C1" s="10"/>
      <c r="D1" s="10"/>
      <c r="E1" s="10"/>
      <c r="F1" s="10"/>
    </row>
    <row r="3" customFormat="false" ht="49.5" hidden="false" customHeight="true" outlineLevel="0" collapsed="false">
      <c r="A3" s="12" t="s">
        <v>156</v>
      </c>
      <c r="B3" s="12"/>
      <c r="C3" s="12"/>
      <c r="D3" s="12"/>
      <c r="E3" s="12"/>
      <c r="F3" s="12"/>
    </row>
    <row r="4" customFormat="false" ht="19.5" hidden="false" customHeight="true" outlineLevel="0" collapsed="false">
      <c r="A4" s="19" t="s">
        <v>157</v>
      </c>
      <c r="B4" s="19"/>
      <c r="C4" s="19"/>
      <c r="D4" s="19"/>
      <c r="E4" s="19"/>
      <c r="F4" s="19"/>
    </row>
    <row r="5" customFormat="false" ht="21.75" hidden="false" customHeight="true" outlineLevel="0" collapsed="false">
      <c r="A5" s="5" t="s">
        <v>158</v>
      </c>
      <c r="B5" s="5" t="s">
        <v>159</v>
      </c>
      <c r="C5" s="5" t="s">
        <v>160</v>
      </c>
      <c r="D5" s="5" t="s">
        <v>161</v>
      </c>
    </row>
    <row r="6" customFormat="false" ht="30" hidden="false" customHeight="true" outlineLevel="0" collapsed="false">
      <c r="A6" s="6" t="s">
        <v>162</v>
      </c>
      <c r="B6" s="6" t="s">
        <v>163</v>
      </c>
      <c r="C6" s="6" t="s">
        <v>164</v>
      </c>
      <c r="D6" s="6" t="s">
        <v>165</v>
      </c>
    </row>
    <row r="7" customFormat="false" ht="90" hidden="false" customHeight="true" outlineLevel="0" collapsed="false">
      <c r="A7" s="6" t="s">
        <v>166</v>
      </c>
      <c r="B7" s="6" t="s">
        <v>167</v>
      </c>
      <c r="C7" s="6" t="s">
        <v>168</v>
      </c>
      <c r="D7" s="6" t="s">
        <v>169</v>
      </c>
    </row>
    <row r="8" customFormat="false" ht="75" hidden="false" customHeight="true" outlineLevel="0" collapsed="false">
      <c r="A8" s="6" t="s">
        <v>170</v>
      </c>
      <c r="B8" s="6" t="s">
        <v>171</v>
      </c>
      <c r="C8" s="6" t="s">
        <v>172</v>
      </c>
      <c r="D8" s="6" t="s">
        <v>173</v>
      </c>
    </row>
    <row r="9" customFormat="false" ht="30" hidden="false" customHeight="true" outlineLevel="0" collapsed="false">
      <c r="A9" s="12"/>
      <c r="B9" s="12"/>
      <c r="C9" s="12"/>
    </row>
    <row r="10" customFormat="false" ht="19.5" hidden="false" customHeight="true" outlineLevel="0" collapsed="false">
      <c r="A10" s="19" t="s">
        <v>174</v>
      </c>
      <c r="B10" s="19"/>
      <c r="C10" s="19"/>
      <c r="D10" s="19"/>
      <c r="E10" s="19"/>
      <c r="F10" s="19"/>
    </row>
    <row r="11" customFormat="false" ht="21.75" hidden="false" customHeight="true" outlineLevel="0" collapsed="false">
      <c r="A11" s="5" t="s">
        <v>175</v>
      </c>
      <c r="B11" s="5" t="s">
        <v>159</v>
      </c>
      <c r="C11" s="5" t="s">
        <v>176</v>
      </c>
      <c r="D11" s="5" t="s">
        <v>161</v>
      </c>
    </row>
    <row r="12" customFormat="false" ht="30" hidden="false" customHeight="true" outlineLevel="0" collapsed="false">
      <c r="A12" s="20" t="s">
        <v>177</v>
      </c>
      <c r="B12" s="20" t="s">
        <v>178</v>
      </c>
      <c r="C12" s="20" t="s">
        <v>179</v>
      </c>
      <c r="D12" s="20" t="s">
        <v>180</v>
      </c>
    </row>
    <row r="13" customFormat="false" ht="60" hidden="false" customHeight="true" outlineLevel="0" collapsed="false">
      <c r="A13" s="20" t="s">
        <v>181</v>
      </c>
      <c r="B13" s="20" t="s">
        <v>182</v>
      </c>
      <c r="C13" s="20" t="s">
        <v>183</v>
      </c>
      <c r="D13" s="20" t="s">
        <v>184</v>
      </c>
    </row>
    <row r="14" customFormat="false" ht="45" hidden="false" customHeight="true" outlineLevel="0" collapsed="false">
      <c r="A14" s="12"/>
      <c r="B14" s="12"/>
      <c r="C14" s="12"/>
    </row>
    <row r="15" customFormat="false" ht="45" hidden="false" customHeight="true" outlineLevel="0" collapsed="false">
      <c r="A15" s="12" t="s">
        <v>185</v>
      </c>
      <c r="B15" s="12"/>
      <c r="C15" s="12"/>
      <c r="D15" s="12"/>
      <c r="E15" s="12"/>
      <c r="F15" s="12"/>
    </row>
    <row r="16" customFormat="false" ht="19.5" hidden="false" customHeight="true" outlineLevel="0" collapsed="false">
      <c r="A16" s="19" t="s">
        <v>186</v>
      </c>
      <c r="B16" s="19"/>
      <c r="C16" s="19"/>
      <c r="D16" s="19"/>
      <c r="E16" s="19"/>
      <c r="F16" s="19"/>
    </row>
    <row r="17" customFormat="false" ht="21.75" hidden="false" customHeight="true" outlineLevel="0" collapsed="false">
      <c r="A17" s="5" t="s">
        <v>187</v>
      </c>
      <c r="B17" s="5" t="s">
        <v>159</v>
      </c>
      <c r="C17" s="5" t="s">
        <v>188</v>
      </c>
      <c r="D17" s="5" t="s">
        <v>161</v>
      </c>
    </row>
    <row r="18" customFormat="false" ht="30" hidden="false" customHeight="true" outlineLevel="0" collapsed="false">
      <c r="A18" s="12" t="s">
        <v>189</v>
      </c>
      <c r="B18" s="12" t="s">
        <v>190</v>
      </c>
      <c r="C18" s="12" t="s">
        <v>191</v>
      </c>
      <c r="D18" s="12" t="s">
        <v>192</v>
      </c>
    </row>
    <row r="19" customFormat="false" ht="30" hidden="false" customHeight="true" outlineLevel="0" collapsed="false">
      <c r="A19" s="13" t="s">
        <v>193</v>
      </c>
      <c r="B19" s="13" t="s">
        <v>194</v>
      </c>
      <c r="C19" s="13" t="s">
        <v>195</v>
      </c>
      <c r="D19" s="13" t="s">
        <v>196</v>
      </c>
    </row>
    <row r="20" customFormat="false" ht="30" hidden="false" customHeight="true" outlineLevel="0" collapsed="false">
      <c r="A20" s="12" t="s">
        <v>26</v>
      </c>
      <c r="B20" s="12" t="s">
        <v>197</v>
      </c>
      <c r="C20" s="12" t="s">
        <v>198</v>
      </c>
      <c r="D20" s="12" t="s">
        <v>199</v>
      </c>
    </row>
    <row r="21" customFormat="false" ht="45" hidden="false" customHeight="true" outlineLevel="0" collapsed="false">
      <c r="A21" s="13" t="s">
        <v>200</v>
      </c>
      <c r="B21" s="13" t="s">
        <v>201</v>
      </c>
      <c r="C21" s="13" t="s">
        <v>202</v>
      </c>
      <c r="D21" s="13" t="s">
        <v>203</v>
      </c>
    </row>
  </sheetData>
  <mergeCells count="6">
    <mergeCell ref="A1:F1"/>
    <mergeCell ref="A3:F3"/>
    <mergeCell ref="A4:F4"/>
    <mergeCell ref="A10:F10"/>
    <mergeCell ref="A15:F15"/>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0"/>
  </cols>
  <sheetData>
    <row r="1" customFormat="false" ht="30" hidden="false" customHeight="true" outlineLevel="0" collapsed="false">
      <c r="A1" s="10" t="s">
        <v>204</v>
      </c>
      <c r="B1" s="10"/>
      <c r="C1" s="10"/>
      <c r="D1" s="10"/>
      <c r="E1" s="10"/>
      <c r="F1" s="10"/>
    </row>
    <row r="3" customFormat="false" ht="21.75" hidden="false" customHeight="true" outlineLevel="0" collapsed="false">
      <c r="A3" s="5" t="s">
        <v>205</v>
      </c>
      <c r="B3" s="5" t="s">
        <v>36</v>
      </c>
    </row>
    <row r="4" customFormat="false" ht="60" hidden="false" customHeight="true" outlineLevel="0" collapsed="false">
      <c r="A4" s="12" t="s">
        <v>206</v>
      </c>
      <c r="B4" s="7" t="s">
        <v>207</v>
      </c>
    </row>
    <row r="5" customFormat="false" ht="45" hidden="false" customHeight="true" outlineLevel="0" collapsed="false">
      <c r="A5" s="13" t="s">
        <v>208</v>
      </c>
      <c r="B5" s="13" t="s">
        <v>209</v>
      </c>
    </row>
    <row r="6" customFormat="false" ht="75" hidden="false" customHeight="true" outlineLevel="0" collapsed="false">
      <c r="A6" s="12" t="s">
        <v>210</v>
      </c>
      <c r="B6" s="7" t="s">
        <v>211</v>
      </c>
    </row>
    <row r="7" customFormat="false" ht="54.75" hidden="false" customHeight="true" outlineLevel="0" collapsed="false">
      <c r="A7" s="13" t="s">
        <v>212</v>
      </c>
      <c r="B7" s="7" t="s">
        <v>213</v>
      </c>
    </row>
    <row r="8" customFormat="false" ht="30" hidden="false" customHeight="true" outlineLevel="0" collapsed="false">
      <c r="A8" s="12" t="s">
        <v>214</v>
      </c>
      <c r="B8" s="12" t="s">
        <v>215</v>
      </c>
    </row>
    <row r="9" customFormat="false" ht="45" hidden="false" customHeight="true" outlineLevel="0" collapsed="false">
      <c r="A9" s="21" t="s">
        <v>216</v>
      </c>
      <c r="B9" s="20" t="s">
        <v>217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8" min="2" style="1" width="16"/>
    <col collapsed="false" customWidth="true" hidden="false" outlineLevel="0" max="9" min="9" style="1" width="14"/>
    <col collapsed="false" customWidth="true" hidden="false" outlineLevel="0" max="11" min="10" style="1" width="16"/>
    <col collapsed="false" customWidth="true" hidden="false" outlineLevel="0" max="12" min="12" style="1" width="13"/>
    <col collapsed="false" customWidth="true" hidden="false" outlineLevel="0" max="13" min="13" style="1" width="16"/>
    <col collapsed="false" customWidth="true" hidden="false" outlineLevel="0" max="14" min="14" style="1" width="15"/>
    <col collapsed="false" customWidth="true" hidden="false" outlineLevel="0" max="15" min="15" style="1" width="13"/>
    <col collapsed="false" customWidth="true" hidden="false" outlineLevel="0" max="16" min="16" style="1" width="16"/>
    <col collapsed="false" customWidth="true" hidden="false" outlineLevel="0" max="17" min="17" style="1" width="15"/>
  </cols>
  <sheetData>
    <row r="1" customFormat="false" ht="30" hidden="false" customHeight="true" outlineLevel="0" collapsed="false">
      <c r="A1" s="10" t="s">
        <v>218</v>
      </c>
      <c r="B1" s="10"/>
      <c r="C1" s="10"/>
      <c r="D1" s="10"/>
      <c r="E1" s="10"/>
      <c r="F1" s="10"/>
      <c r="G1" s="10"/>
      <c r="H1" s="10"/>
    </row>
    <row r="2" customFormat="false" ht="84.75" hidden="false" customHeight="true" outlineLevel="0" collapsed="false">
      <c r="A2" s="22"/>
      <c r="B2" s="22"/>
      <c r="C2" s="22"/>
      <c r="D2" s="22"/>
      <c r="E2" s="22"/>
      <c r="F2" s="22"/>
      <c r="G2" s="22"/>
      <c r="H2" s="22"/>
    </row>
    <row r="3" customFormat="false" ht="45" hidden="false" customHeight="true" outlineLevel="0" collapsed="false">
      <c r="A3" s="3" t="s">
        <v>219</v>
      </c>
      <c r="B3" s="3"/>
      <c r="C3" s="3"/>
      <c r="D3" s="3"/>
      <c r="E3" s="3"/>
      <c r="F3" s="3"/>
      <c r="G3" s="3"/>
      <c r="H3" s="3"/>
    </row>
    <row r="4" customFormat="false" ht="236.25" hidden="false" customHeight="true" outlineLevel="0" collapsed="false"/>
    <row r="5" customFormat="false" ht="39.75" hidden="false" customHeight="true" outlineLevel="0" collapsed="false">
      <c r="A5" s="5" t="s">
        <v>220</v>
      </c>
      <c r="B5" s="5" t="s">
        <v>221</v>
      </c>
      <c r="C5" s="5" t="s">
        <v>222</v>
      </c>
      <c r="D5" s="5" t="s">
        <v>223</v>
      </c>
      <c r="E5" s="5" t="s">
        <v>224</v>
      </c>
      <c r="F5" s="5" t="s">
        <v>225</v>
      </c>
      <c r="G5" s="5" t="s">
        <v>226</v>
      </c>
      <c r="H5" s="5" t="s">
        <v>227</v>
      </c>
      <c r="I5" s="5" t="s">
        <v>228</v>
      </c>
      <c r="J5" s="5" t="s">
        <v>229</v>
      </c>
      <c r="K5" s="5" t="s">
        <v>230</v>
      </c>
      <c r="L5" s="5" t="s">
        <v>231</v>
      </c>
      <c r="M5" s="5" t="s">
        <v>232</v>
      </c>
      <c r="N5" s="5" t="s">
        <v>233</v>
      </c>
      <c r="O5" s="5" t="s">
        <v>234</v>
      </c>
      <c r="P5" s="5" t="s">
        <v>235</v>
      </c>
      <c r="Q5" s="5" t="s">
        <v>236</v>
      </c>
    </row>
    <row r="6" customFormat="false" ht="15" hidden="false" customHeight="true" outlineLevel="0" collapsed="false">
      <c r="A6" s="23" t="s">
        <v>237</v>
      </c>
      <c r="B6" s="24" t="n">
        <v>8</v>
      </c>
      <c r="C6" s="24" t="n">
        <v>92</v>
      </c>
      <c r="D6" s="24" t="n">
        <v>6</v>
      </c>
      <c r="E6" s="24" t="n">
        <v>4</v>
      </c>
      <c r="F6" s="23" t="n">
        <f aca="false">D6+E6</f>
        <v>10</v>
      </c>
      <c r="G6" s="25" t="n">
        <f aca="false">IFERROR(C6/F6,0)</f>
        <v>9.2</v>
      </c>
      <c r="H6" s="24" t="s">
        <v>238</v>
      </c>
      <c r="I6" s="26" t="n">
        <f aca="false">RANK(G6,$G$6:$G$11,0)+COUNTIF($G$6:G6,G6)-1</f>
        <v>2</v>
      </c>
      <c r="J6" s="26" t="n">
        <f aca="false">SUMIF($I$6:$I$11,"&lt;="&amp;I6,$F$6:$F$11)</f>
        <v>15</v>
      </c>
      <c r="K6" s="27" t="str">
        <f aca="false">IF(J6&lt;=80,"Y","N")</f>
        <v>Y</v>
      </c>
      <c r="L6" s="28" t="n">
        <f aca="false">RANK(C6,$C$6:$C$11,0)+COUNTIF($C$6:C6,C6)-1</f>
        <v>1</v>
      </c>
      <c r="M6" s="28" t="n">
        <f aca="false">SUMIF($L$6:$L$11,"&lt;="&amp;L6,$F$6:$F$11)</f>
        <v>10</v>
      </c>
      <c r="N6" s="29" t="str">
        <f aca="false">IF(M6&lt;=80,"Y","N")</f>
        <v>Y</v>
      </c>
      <c r="O6" s="30" t="n">
        <f aca="false">RANK(F6,$F$6:$F$11,1)+COUNTIF($F$6:F6,F6)-1</f>
        <v>3</v>
      </c>
      <c r="P6" s="30" t="n">
        <f aca="false">SUMIF($O$6:$O$11,"&lt;="&amp;O6,$F$6:$F$11)</f>
        <v>23</v>
      </c>
      <c r="Q6" s="31" t="str">
        <f aca="false">IF(P6&lt;=80,"Y","N")</f>
        <v>Y</v>
      </c>
    </row>
    <row r="7" customFormat="false" ht="15" hidden="false" customHeight="true" outlineLevel="0" collapsed="false">
      <c r="A7" s="32" t="s">
        <v>239</v>
      </c>
      <c r="B7" s="24" t="n">
        <v>5</v>
      </c>
      <c r="C7" s="24" t="n">
        <v>61</v>
      </c>
      <c r="D7" s="24" t="n">
        <v>4</v>
      </c>
      <c r="E7" s="24" t="n">
        <v>9</v>
      </c>
      <c r="F7" s="32" t="n">
        <f aca="false">D7+E7</f>
        <v>13</v>
      </c>
      <c r="G7" s="33" t="n">
        <f aca="false">IFERROR(C7/F7,0)</f>
        <v>4.69230769230769</v>
      </c>
      <c r="H7" s="24" t="s">
        <v>238</v>
      </c>
      <c r="I7" s="26" t="n">
        <f aca="false">RANK(G7,$G$6:$G$11,0)+COUNTIF($G$6:G7,G7)-1</f>
        <v>3</v>
      </c>
      <c r="J7" s="26" t="n">
        <f aca="false">SUMIF($I$6:$I$11,"&lt;="&amp;I7,$F$6:$F$11)</f>
        <v>28</v>
      </c>
      <c r="K7" s="27" t="str">
        <f aca="false">IF(J7&lt;=80,"Y","N")</f>
        <v>Y</v>
      </c>
      <c r="L7" s="28" t="n">
        <f aca="false">RANK(C7,$C$6:$C$11,0)+COUNTIF($C$6:C7,C7)-1</f>
        <v>4</v>
      </c>
      <c r="M7" s="28" t="n">
        <f aca="false">SUMIF($L$6:$L$11,"&lt;="&amp;L7,$F$6:$F$11)</f>
        <v>75</v>
      </c>
      <c r="N7" s="29" t="str">
        <f aca="false">IF(M7&lt;=80,"Y","N")</f>
        <v>Y</v>
      </c>
      <c r="O7" s="30" t="n">
        <f aca="false">RANK(F7,$F$6:$F$11,1)+COUNTIF($F$6:F7,F7)-1</f>
        <v>4</v>
      </c>
      <c r="P7" s="30" t="n">
        <f aca="false">SUMIF($O$6:$O$11,"&lt;="&amp;O7,$F$6:$F$11)</f>
        <v>36</v>
      </c>
      <c r="Q7" s="31" t="str">
        <f aca="false">IF(P7&lt;=80,"Y","N")</f>
        <v>Y</v>
      </c>
    </row>
    <row r="8" customFormat="false" ht="15" hidden="false" customHeight="true" outlineLevel="0" collapsed="false">
      <c r="A8" s="23" t="s">
        <v>240</v>
      </c>
      <c r="B8" s="24" t="n">
        <v>12</v>
      </c>
      <c r="C8" s="24" t="n">
        <v>78</v>
      </c>
      <c r="D8" s="24" t="n">
        <v>10</v>
      </c>
      <c r="E8" s="24" t="n">
        <v>15</v>
      </c>
      <c r="F8" s="23" t="n">
        <f aca="false">D8+E8</f>
        <v>25</v>
      </c>
      <c r="G8" s="25" t="n">
        <f aca="false">IFERROR(C8/F8,0)</f>
        <v>3.12</v>
      </c>
      <c r="H8" s="24" t="s">
        <v>241</v>
      </c>
      <c r="I8" s="26" t="n">
        <f aca="false">RANK(G8,$G$6:$G$11,0)+COUNTIF($G$6:G8,G8)-1</f>
        <v>6</v>
      </c>
      <c r="J8" s="26" t="n">
        <f aca="false">SUMIF($I$6:$I$11,"&lt;="&amp;I8,$F$6:$F$11)</f>
        <v>88</v>
      </c>
      <c r="K8" s="27" t="str">
        <f aca="false">IF(J8&lt;=80,"Y","N")</f>
        <v>N</v>
      </c>
      <c r="L8" s="28" t="n">
        <f aca="false">RANK(C8,$C$6:$C$11,0)+COUNTIF($C$6:C8,C8)-1</f>
        <v>3</v>
      </c>
      <c r="M8" s="28" t="n">
        <f aca="false">SUMIF($L$6:$L$11,"&lt;="&amp;L8,$F$6:$F$11)</f>
        <v>62</v>
      </c>
      <c r="N8" s="29" t="str">
        <f aca="false">IF(M8&lt;=80,"Y","N")</f>
        <v>Y</v>
      </c>
      <c r="O8" s="30" t="n">
        <f aca="false">RANK(F8,$F$6:$F$11,1)+COUNTIF($F$6:F8,F8)-1</f>
        <v>5</v>
      </c>
      <c r="P8" s="30" t="n">
        <f aca="false">SUMIF($O$6:$O$11,"&lt;="&amp;O8,$F$6:$F$11)</f>
        <v>61</v>
      </c>
      <c r="Q8" s="31" t="str">
        <f aca="false">IF(P8&lt;=80,"Y","N")</f>
        <v>Y</v>
      </c>
    </row>
    <row r="9" customFormat="false" ht="15" hidden="false" customHeight="true" outlineLevel="0" collapsed="false">
      <c r="A9" s="32" t="s">
        <v>242</v>
      </c>
      <c r="B9" s="24" t="n">
        <v>4</v>
      </c>
      <c r="C9" s="24" t="n">
        <v>55</v>
      </c>
      <c r="D9" s="24" t="n">
        <v>3</v>
      </c>
      <c r="E9" s="24" t="n">
        <v>2</v>
      </c>
      <c r="F9" s="32" t="n">
        <f aca="false">D9+E9</f>
        <v>5</v>
      </c>
      <c r="G9" s="33" t="n">
        <f aca="false">IFERROR(C9/F9,0)</f>
        <v>11</v>
      </c>
      <c r="H9" s="24" t="s">
        <v>238</v>
      </c>
      <c r="I9" s="26" t="n">
        <f aca="false">RANK(G9,$G$6:$G$11,0)+COUNTIF($G$6:G9,G9)-1</f>
        <v>1</v>
      </c>
      <c r="J9" s="26" t="n">
        <f aca="false">SUMIF($I$6:$I$11,"&lt;="&amp;I9,$F$6:$F$11)</f>
        <v>5</v>
      </c>
      <c r="K9" s="27" t="str">
        <f aca="false">IF(J9&lt;=80,"Y","N")</f>
        <v>Y</v>
      </c>
      <c r="L9" s="28" t="n">
        <f aca="false">RANK(C9,$C$6:$C$11,0)+COUNTIF($C$6:C9,C9)-1</f>
        <v>5</v>
      </c>
      <c r="M9" s="28" t="n">
        <f aca="false">SUMIF($L$6:$L$11,"&lt;="&amp;L9,$F$6:$F$11)</f>
        <v>80</v>
      </c>
      <c r="N9" s="29" t="str">
        <f aca="false">IF(M9&lt;=80,"Y","N")</f>
        <v>Y</v>
      </c>
      <c r="O9" s="30" t="n">
        <f aca="false">RANK(F9,$F$6:$F$11,1)+COUNTIF($F$6:F9,F9)-1</f>
        <v>1</v>
      </c>
      <c r="P9" s="30" t="n">
        <f aca="false">SUMIF($O$6:$O$11,"&lt;="&amp;O9,$F$6:$F$11)</f>
        <v>5</v>
      </c>
      <c r="Q9" s="31" t="str">
        <f aca="false">IF(P9&lt;=80,"Y","N")</f>
        <v>Y</v>
      </c>
    </row>
    <row r="10" customFormat="false" ht="15" hidden="false" customHeight="true" outlineLevel="0" collapsed="false">
      <c r="A10" s="23" t="s">
        <v>243</v>
      </c>
      <c r="B10" s="24" t="n">
        <v>7</v>
      </c>
      <c r="C10" s="24" t="n">
        <v>88</v>
      </c>
      <c r="D10" s="24" t="n">
        <v>5</v>
      </c>
      <c r="E10" s="24" t="n">
        <v>22</v>
      </c>
      <c r="F10" s="23" t="n">
        <f aca="false">D10+E10</f>
        <v>27</v>
      </c>
      <c r="G10" s="25" t="n">
        <f aca="false">IFERROR(C10/F10,0)</f>
        <v>3.25925925925926</v>
      </c>
      <c r="H10" s="24" t="s">
        <v>238</v>
      </c>
      <c r="I10" s="26" t="n">
        <f aca="false">RANK(G10,$G$6:$G$11,0)+COUNTIF($G$6:G10,G10)-1</f>
        <v>5</v>
      </c>
      <c r="J10" s="26" t="n">
        <f aca="false">SUMIF($I$6:$I$11,"&lt;="&amp;I10,$F$6:$F$11)</f>
        <v>63</v>
      </c>
      <c r="K10" s="27" t="str">
        <f aca="false">IF(J10&lt;=80,"Y","N")</f>
        <v>Y</v>
      </c>
      <c r="L10" s="28" t="n">
        <f aca="false">RANK(C10,$C$6:$C$11,0)+COUNTIF($C$6:C10,C10)-1</f>
        <v>2</v>
      </c>
      <c r="M10" s="28" t="n">
        <f aca="false">SUMIF($L$6:$L$11,"&lt;="&amp;L10,$F$6:$F$11)</f>
        <v>37</v>
      </c>
      <c r="N10" s="29" t="str">
        <f aca="false">IF(M10&lt;=80,"Y","N")</f>
        <v>Y</v>
      </c>
      <c r="O10" s="30" t="n">
        <f aca="false">RANK(F10,$F$6:$F$11,1)+COUNTIF($F$6:F10,F10)-1</f>
        <v>6</v>
      </c>
      <c r="P10" s="30" t="n">
        <f aca="false">SUMIF($O$6:$O$11,"&lt;="&amp;O10,$F$6:$F$11)</f>
        <v>88</v>
      </c>
      <c r="Q10" s="31" t="str">
        <f aca="false">IF(P10&lt;=80,"Y","N")</f>
        <v>N</v>
      </c>
    </row>
    <row r="11" customFormat="false" ht="15" hidden="false" customHeight="true" outlineLevel="0" collapsed="false">
      <c r="A11" s="32" t="s">
        <v>244</v>
      </c>
      <c r="B11" s="34" t="n">
        <v>3</v>
      </c>
      <c r="C11" s="34" t="n">
        <v>30</v>
      </c>
      <c r="D11" s="34" t="n">
        <v>2</v>
      </c>
      <c r="E11" s="35" t="n">
        <v>6</v>
      </c>
      <c r="F11" s="32" t="n">
        <f aca="false">D11+E11</f>
        <v>8</v>
      </c>
      <c r="G11" s="33" t="n">
        <f aca="false">IFERROR(C11/F11,0)</f>
        <v>3.75</v>
      </c>
      <c r="H11" s="24" t="s">
        <v>238</v>
      </c>
      <c r="I11" s="26" t="n">
        <f aca="false">RANK(G11,$G$6:$G$11,0)+COUNTIF($G$6:G11,G11)-1</f>
        <v>4</v>
      </c>
      <c r="J11" s="26" t="n">
        <f aca="false">SUMIF($I$6:$I$11,"&lt;="&amp;I11,$F$6:$F$11)</f>
        <v>36</v>
      </c>
      <c r="K11" s="27" t="str">
        <f aca="false">IF(J11&lt;=80,"Y","N")</f>
        <v>Y</v>
      </c>
      <c r="L11" s="28" t="n">
        <f aca="false">RANK(C11,$C$6:$C$11,0)+COUNTIF($C$6:C11,C11)-1</f>
        <v>6</v>
      </c>
      <c r="M11" s="28" t="n">
        <f aca="false">SUMIF($L$6:$L$11,"&lt;="&amp;L11,$F$6:$F$11)</f>
        <v>88</v>
      </c>
      <c r="N11" s="29" t="str">
        <f aca="false">IF(M11&lt;=80,"Y","N")</f>
        <v>N</v>
      </c>
      <c r="O11" s="30" t="n">
        <f aca="false">RANK(F11,$F$6:$F$11,1)+COUNTIF($F$6:F11,F11)-1</f>
        <v>2</v>
      </c>
      <c r="P11" s="30" t="n">
        <f aca="false">SUMIF($O$6:$O$11,"&lt;="&amp;O11,$F$6:$F$11)</f>
        <v>13</v>
      </c>
      <c r="Q11" s="31" t="str">
        <f aca="false">IF(P11&lt;=80,"Y","N")</f>
        <v>Y</v>
      </c>
    </row>
    <row r="12" customFormat="false" ht="15" hidden="false" customHeight="true" outlineLevel="0" collapsed="false">
      <c r="A12" s="36" t="s">
        <v>245</v>
      </c>
      <c r="B12" s="36"/>
      <c r="C12" s="36"/>
      <c r="D12" s="36"/>
      <c r="E12" s="36"/>
      <c r="F12" s="37" t="n">
        <f aca="false">SUMIF(H6:H11,"Y",F6:F11)</f>
        <v>63</v>
      </c>
      <c r="G12" s="38" t="n">
        <f aca="false">SUMIF(H6:H11,"Y",C6:C11)</f>
        <v>326</v>
      </c>
      <c r="H12" s="39" t="s">
        <v>246</v>
      </c>
    </row>
    <row r="13" customFormat="false" ht="15" hidden="false" customHeight="true" outlineLevel="0" collapsed="false">
      <c r="A13" s="40" t="s">
        <v>247</v>
      </c>
      <c r="B13" s="40"/>
      <c r="C13" s="40"/>
      <c r="D13" s="40"/>
      <c r="E13" s="40"/>
      <c r="F13" s="27" t="n">
        <f aca="false">SUMIF(K6:K11,"Y",F6:F11)</f>
        <v>63</v>
      </c>
      <c r="G13" s="41" t="n">
        <f aca="false">SUMIF(K6:K11,"Y",C6:C11)</f>
        <v>326</v>
      </c>
      <c r="H13" s="39" t="s">
        <v>246</v>
      </c>
      <c r="M13" s="29" t="n">
        <f aca="false">SUMIF(N6:N11,"Y",F6:F11)</f>
        <v>80</v>
      </c>
      <c r="N13" s="42" t="n">
        <f aca="false">SUMIF(N6:N11,"Y",C6:C11)</f>
        <v>374</v>
      </c>
      <c r="P13" s="31" t="n">
        <f aca="false">SUMIF(Q6:Q11,"Y",F6:F11)</f>
        <v>61</v>
      </c>
      <c r="Q13" s="43" t="n">
        <f aca="false">SUMIF(Q6:Q11,"Y",C6:C11)</f>
        <v>316</v>
      </c>
    </row>
    <row r="14" customFormat="false" ht="31.5" hidden="false" customHeight="true" outlineLevel="0" collapsed="false">
      <c r="A14" s="3" t="s">
        <v>248</v>
      </c>
      <c r="B14" s="3"/>
      <c r="C14" s="3"/>
      <c r="D14" s="3"/>
      <c r="E14" s="3"/>
      <c r="F14" s="3"/>
      <c r="G14" s="3"/>
      <c r="H14" s="3"/>
    </row>
    <row r="15" customFormat="false" ht="60" hidden="false" customHeight="true" outlineLevel="0" collapsed="false">
      <c r="A15" s="3" t="s">
        <v>249</v>
      </c>
      <c r="B15" s="3"/>
      <c r="C15" s="3"/>
      <c r="D15" s="3"/>
      <c r="E15" s="3"/>
      <c r="F15" s="3"/>
      <c r="G15" s="3"/>
      <c r="H15" s="3"/>
    </row>
    <row r="16" customFormat="false" ht="54.75" hidden="false" customHeight="true" outlineLevel="0" collapsed="false">
      <c r="A16" s="3" t="s">
        <v>250</v>
      </c>
      <c r="B16" s="3"/>
      <c r="C16" s="3"/>
      <c r="D16" s="3"/>
      <c r="E16" s="3"/>
      <c r="F16" s="3"/>
      <c r="G16" s="3"/>
      <c r="H16" s="3"/>
    </row>
    <row r="17" customFormat="false" ht="415.5" hidden="false" customHeight="true" outlineLevel="0" collapsed="false"/>
    <row r="18" customFormat="false" ht="21.75" hidden="false" customHeight="true" outlineLevel="0" collapsed="false">
      <c r="A18" s="4" t="s">
        <v>251</v>
      </c>
      <c r="B18" s="4"/>
      <c r="C18" s="4"/>
      <c r="D18" s="4"/>
      <c r="E18" s="4"/>
      <c r="F18" s="4"/>
      <c r="G18" s="4"/>
      <c r="H18" s="4"/>
      <c r="I18" s="4"/>
      <c r="J18" s="4"/>
      <c r="K18" s="4"/>
      <c r="L18" s="4"/>
      <c r="M18" s="4"/>
      <c r="N18" s="4"/>
      <c r="O18" s="4"/>
      <c r="P18" s="4"/>
      <c r="Q18" s="4"/>
    </row>
    <row r="19" customFormat="false" ht="45" hidden="false" customHeight="true" outlineLevel="0" collapsed="false">
      <c r="A19" s="3" t="s">
        <v>252</v>
      </c>
      <c r="B19" s="3"/>
      <c r="C19" s="3"/>
      <c r="D19" s="3"/>
      <c r="E19" s="3"/>
      <c r="F19" s="3"/>
      <c r="G19" s="3"/>
      <c r="H19" s="3"/>
      <c r="I19" s="3"/>
      <c r="J19" s="3"/>
      <c r="K19" s="3"/>
      <c r="L19" s="3"/>
      <c r="M19" s="3"/>
      <c r="N19" s="3"/>
      <c r="O19" s="3"/>
      <c r="P19" s="3"/>
      <c r="Q19" s="3"/>
    </row>
    <row r="20" customFormat="false" ht="25.5" hidden="false" customHeight="true" outlineLevel="0" collapsed="false">
      <c r="A20" s="5" t="s">
        <v>253</v>
      </c>
      <c r="B20" s="5" t="s">
        <v>254</v>
      </c>
      <c r="C20" s="5" t="s">
        <v>255</v>
      </c>
      <c r="D20" s="5" t="s">
        <v>256</v>
      </c>
      <c r="E20" s="5" t="s">
        <v>257</v>
      </c>
      <c r="F20" s="5" t="s">
        <v>258</v>
      </c>
    </row>
    <row r="21" customFormat="false" ht="31.5" hidden="false" customHeight="true" outlineLevel="0" collapsed="false">
      <c r="A21" s="44" t="s">
        <v>259</v>
      </c>
      <c r="B21" s="9" t="s">
        <v>260</v>
      </c>
      <c r="C21" s="9" t="s">
        <v>261</v>
      </c>
      <c r="D21" s="26" t="n">
        <f aca="false">F13</f>
        <v>63</v>
      </c>
      <c r="E21" s="45" t="n">
        <f aca="false">G13</f>
        <v>326</v>
      </c>
      <c r="F21" s="45" t="n">
        <f aca="false">IFERROR(G13/F13,0)</f>
        <v>5.17460317460318</v>
      </c>
    </row>
    <row r="22" customFormat="false" ht="31.5" hidden="false" customHeight="true" outlineLevel="0" collapsed="false">
      <c r="A22" s="46" t="s">
        <v>262</v>
      </c>
      <c r="B22" s="47" t="s">
        <v>263</v>
      </c>
      <c r="C22" s="47" t="s">
        <v>264</v>
      </c>
      <c r="D22" s="28" t="n">
        <f aca="false">M13</f>
        <v>80</v>
      </c>
      <c r="E22" s="48" t="n">
        <f aca="false">N13</f>
        <v>374</v>
      </c>
      <c r="F22" s="48" t="n">
        <f aca="false">IFERROR(N13/M13,0)</f>
        <v>4.675</v>
      </c>
    </row>
    <row r="23" customFormat="false" ht="31.5" hidden="false" customHeight="true" outlineLevel="0" collapsed="false">
      <c r="A23" s="49" t="s">
        <v>265</v>
      </c>
      <c r="B23" s="20" t="s">
        <v>266</v>
      </c>
      <c r="C23" s="20" t="s">
        <v>267</v>
      </c>
      <c r="D23" s="30" t="n">
        <f aca="false">P13</f>
        <v>61</v>
      </c>
      <c r="E23" s="50" t="n">
        <f aca="false">Q13</f>
        <v>316</v>
      </c>
      <c r="F23" s="50" t="n">
        <f aca="false">IFERROR(Q13/P13,0)</f>
        <v>5.18032786885246</v>
      </c>
    </row>
    <row r="24" customFormat="false" ht="34.5" hidden="false" customHeight="true" outlineLevel="0" collapsed="false"/>
    <row r="25" customFormat="false" ht="64.5" hidden="false" customHeight="true" outlineLevel="0" collapsed="false">
      <c r="A25" s="3" t="s">
        <v>268</v>
      </c>
      <c r="B25" s="3"/>
      <c r="C25" s="3"/>
      <c r="D25" s="3"/>
      <c r="E25" s="3"/>
      <c r="F25" s="3"/>
      <c r="G25" s="3"/>
      <c r="H25" s="3"/>
      <c r="I25" s="3"/>
      <c r="J25" s="3"/>
      <c r="K25" s="3"/>
      <c r="L25" s="3"/>
      <c r="M25" s="3"/>
      <c r="N25" s="3"/>
      <c r="O25" s="3"/>
      <c r="P25" s="3"/>
      <c r="Q25" s="3"/>
    </row>
    <row r="26" customFormat="false" ht="482.25" hidden="false" customHeight="true" outlineLevel="0" collapsed="false"/>
  </sheetData>
  <mergeCells count="11">
    <mergeCell ref="A1:H1"/>
    <mergeCell ref="A2:H2"/>
    <mergeCell ref="A3:H3"/>
    <mergeCell ref="A12:E12"/>
    <mergeCell ref="A13:E13"/>
    <mergeCell ref="A14:H14"/>
    <mergeCell ref="A15:H15"/>
    <mergeCell ref="A16:H16"/>
    <mergeCell ref="A18:Q18"/>
    <mergeCell ref="A19:Q19"/>
    <mergeCell ref="A25:Q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95"/>
  </cols>
  <sheetData>
    <row r="1" customFormat="false" ht="30" hidden="false" customHeight="true" outlineLevel="0" collapsed="false">
      <c r="A1" s="10" t="s">
        <v>269</v>
      </c>
      <c r="B1" s="10"/>
      <c r="C1" s="10"/>
      <c r="D1" s="10"/>
      <c r="E1" s="10"/>
      <c r="F1" s="10"/>
    </row>
    <row r="3" customFormat="false" ht="21.75" hidden="false" customHeight="true" outlineLevel="0" collapsed="false">
      <c r="A3" s="5" t="s">
        <v>175</v>
      </c>
      <c r="B3" s="5" t="s">
        <v>110</v>
      </c>
    </row>
    <row r="4" customFormat="false" ht="30" hidden="false" customHeight="true" outlineLevel="0" collapsed="false">
      <c r="A4" s="12" t="s">
        <v>270</v>
      </c>
      <c r="B4" s="12" t="s">
        <v>271</v>
      </c>
    </row>
    <row r="5" customFormat="false" ht="15" hidden="false" customHeight="true" outlineLevel="0" collapsed="false">
      <c r="A5" s="13" t="s">
        <v>272</v>
      </c>
      <c r="B5" s="13" t="s">
        <v>273</v>
      </c>
    </row>
    <row r="6" customFormat="false" ht="45" hidden="false" customHeight="true" outlineLevel="0" collapsed="false">
      <c r="A6" s="12" t="s">
        <v>274</v>
      </c>
      <c r="B6" s="12" t="s">
        <v>275</v>
      </c>
    </row>
    <row r="7" customFormat="false" ht="30" hidden="false" customHeight="true" outlineLevel="0" collapsed="false">
      <c r="A7" s="13" t="s">
        <v>276</v>
      </c>
      <c r="B7" s="13" t="s">
        <v>277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5"/>
    <col collapsed="false" customWidth="true" hidden="false" outlineLevel="0" max="3" min="3" style="1" width="55"/>
  </cols>
  <sheetData>
    <row r="1" customFormat="false" ht="30" hidden="false" customHeight="true" outlineLevel="0" collapsed="false">
      <c r="A1" s="10" t="s">
        <v>278</v>
      </c>
      <c r="B1" s="10"/>
      <c r="C1" s="10"/>
      <c r="D1" s="10"/>
      <c r="E1" s="10"/>
      <c r="F1" s="10"/>
    </row>
    <row r="3" customFormat="false" ht="21.75" hidden="false" customHeight="true" outlineLevel="0" collapsed="false">
      <c r="A3" s="5" t="s">
        <v>279</v>
      </c>
      <c r="B3" s="5" t="s">
        <v>70</v>
      </c>
      <c r="C3" s="5" t="s">
        <v>280</v>
      </c>
    </row>
    <row r="4" customFormat="false" ht="90" hidden="false" customHeight="true" outlineLevel="0" collapsed="false">
      <c r="A4" s="12" t="s">
        <v>281</v>
      </c>
      <c r="B4" s="12" t="s">
        <v>282</v>
      </c>
      <c r="C4" s="12" t="s">
        <v>283</v>
      </c>
    </row>
    <row r="5" customFormat="false" ht="90" hidden="false" customHeight="true" outlineLevel="0" collapsed="false">
      <c r="A5" s="13" t="s">
        <v>284</v>
      </c>
      <c r="B5" s="13" t="s">
        <v>285</v>
      </c>
      <c r="C5" s="13" t="s">
        <v>286</v>
      </c>
    </row>
    <row r="6" customFormat="false" ht="60" hidden="false" customHeight="true" outlineLevel="0" collapsed="false">
      <c r="A6" s="12" t="s">
        <v>287</v>
      </c>
      <c r="B6" s="12" t="s">
        <v>288</v>
      </c>
      <c r="C6" s="12" t="s">
        <v>289</v>
      </c>
    </row>
    <row r="7" customFormat="false" ht="60" hidden="false" customHeight="true" outlineLevel="0" collapsed="false">
      <c r="A7" s="13" t="s">
        <v>290</v>
      </c>
      <c r="B7" s="13" t="s">
        <v>291</v>
      </c>
      <c r="C7" s="13" t="s">
        <v>292</v>
      </c>
    </row>
    <row r="8" customFormat="false" ht="75" hidden="false" customHeight="true" outlineLevel="0" collapsed="false">
      <c r="A8" s="12" t="s">
        <v>293</v>
      </c>
      <c r="B8" s="12" t="s">
        <v>294</v>
      </c>
      <c r="C8" s="12" t="s">
        <v>295</v>
      </c>
    </row>
    <row r="9" customFormat="false" ht="75" hidden="false" customHeight="true" outlineLevel="0" collapsed="false">
      <c r="A9" s="13" t="s">
        <v>296</v>
      </c>
      <c r="B9" s="13" t="s">
        <v>297</v>
      </c>
      <c r="C9" s="13" t="s">
        <v>298</v>
      </c>
    </row>
    <row r="10" customFormat="false" ht="75" hidden="false" customHeight="true" outlineLevel="0" collapsed="false">
      <c r="A10" s="12" t="s">
        <v>299</v>
      </c>
      <c r="B10" s="12" t="s">
        <v>300</v>
      </c>
      <c r="C10" s="12" t="s">
        <v>301</v>
      </c>
    </row>
    <row r="11" customFormat="false" ht="75" hidden="false" customHeight="true" outlineLevel="0" collapsed="false">
      <c r="A11" s="13" t="s">
        <v>302</v>
      </c>
      <c r="B11" s="13" t="s">
        <v>303</v>
      </c>
      <c r="C11" s="13" t="s">
        <v>304</v>
      </c>
    </row>
    <row r="12" customFormat="false" ht="60" hidden="false" customHeight="true" outlineLevel="0" collapsed="false">
      <c r="A12" s="12" t="s">
        <v>305</v>
      </c>
      <c r="B12" s="12" t="s">
        <v>306</v>
      </c>
      <c r="C12" s="12" t="s">
        <v>307</v>
      </c>
    </row>
    <row r="13" customFormat="false" ht="75" hidden="false" customHeight="true" outlineLevel="0" collapsed="false">
      <c r="A13" s="13" t="s">
        <v>308</v>
      </c>
      <c r="B13" s="13" t="s">
        <v>309</v>
      </c>
      <c r="C13" s="13" t="s">
        <v>310</v>
      </c>
    </row>
    <row r="14" customFormat="false" ht="60" hidden="false" customHeight="true" outlineLevel="0" collapsed="false">
      <c r="A14" s="12" t="s">
        <v>311</v>
      </c>
      <c r="B14" s="12" t="s">
        <v>312</v>
      </c>
      <c r="C14" s="12" t="s">
        <v>313</v>
      </c>
    </row>
    <row r="15" customFormat="false" ht="75" hidden="false" customHeight="true" outlineLevel="0" collapsed="false">
      <c r="A15" s="47" t="s">
        <v>314</v>
      </c>
      <c r="B15" s="47" t="s">
        <v>315</v>
      </c>
      <c r="C15" s="47" t="s">
        <v>316</v>
      </c>
    </row>
    <row r="16" customFormat="false" ht="75" hidden="false" customHeight="true" outlineLevel="0" collapsed="false">
      <c r="A16" s="47" t="s">
        <v>317</v>
      </c>
      <c r="B16" s="47" t="s">
        <v>318</v>
      </c>
      <c r="C16" s="47" t="s">
        <v>319</v>
      </c>
    </row>
    <row r="17" customFormat="false" ht="60" hidden="false" customHeight="true" outlineLevel="0" collapsed="false">
      <c r="A17" s="7" t="s">
        <v>320</v>
      </c>
      <c r="B17" s="7" t="s">
        <v>321</v>
      </c>
      <c r="C17" s="7" t="s">
        <v>322</v>
      </c>
    </row>
    <row r="18" customFormat="false" ht="60" hidden="false" customHeight="true" outlineLevel="0" collapsed="false">
      <c r="A18" s="7" t="s">
        <v>323</v>
      </c>
      <c r="B18" s="7" t="s">
        <v>324</v>
      </c>
      <c r="C18" s="7" t="s">
        <v>325</v>
      </c>
    </row>
    <row r="19" customFormat="false" ht="60" hidden="false" customHeight="true" outlineLevel="0" collapsed="false">
      <c r="A19" s="7" t="s">
        <v>326</v>
      </c>
      <c r="B19" s="7" t="s">
        <v>327</v>
      </c>
      <c r="C19" s="7" t="s">
        <v>328</v>
      </c>
    </row>
    <row r="20" customFormat="false" ht="60" hidden="false" customHeight="true" outlineLevel="0" collapsed="false">
      <c r="A20" s="7" t="s">
        <v>329</v>
      </c>
      <c r="B20" s="7" t="s">
        <v>330</v>
      </c>
      <c r="C20" s="7" t="s">
        <v>331</v>
      </c>
    </row>
    <row r="21" customFormat="false" ht="60" hidden="false" customHeight="true" outlineLevel="0" collapsed="false">
      <c r="A21" s="7" t="s">
        <v>332</v>
      </c>
      <c r="B21" s="7" t="s">
        <v>333</v>
      </c>
      <c r="C21" s="7" t="s">
        <v>334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0"/>
    <col collapsed="false" customWidth="true" hidden="false" outlineLevel="0" max="3" min="3" style="1" width="40"/>
    <col collapsed="false" customWidth="true" hidden="false" outlineLevel="0" max="5" min="4" style="1" width="16"/>
    <col collapsed="false" customWidth="true" hidden="false" outlineLevel="0" max="6" min="6" style="1" width="45"/>
    <col collapsed="false" customWidth="true" hidden="false" outlineLevel="0" max="7" min="7" style="1" width="16"/>
    <col collapsed="false" customWidth="true" hidden="false" outlineLevel="0" max="9" min="8" style="1" width="14"/>
    <col collapsed="false" customWidth="true" hidden="false" outlineLevel="0" max="10" min="10" style="1" width="13"/>
    <col collapsed="false" customWidth="true" hidden="false" outlineLevel="0" max="11" min="11" style="1" width="12"/>
    <col collapsed="false" customWidth="true" hidden="false" outlineLevel="0" max="12" min="12" style="1" width="14"/>
    <col collapsed="false" customWidth="true" hidden="false" outlineLevel="0" max="13" min="13" style="1" width="16"/>
    <col collapsed="false" customWidth="true" hidden="false" outlineLevel="0" max="15" min="14" style="1" width="15"/>
    <col collapsed="false" customWidth="true" hidden="false" outlineLevel="0" max="16" min="16" style="1" width="16"/>
    <col collapsed="false" customWidth="true" hidden="false" outlineLevel="0" max="17" min="17" style="1" width="14"/>
    <col collapsed="false" customWidth="true" hidden="false" outlineLevel="0" max="20" min="19" style="1" width="8"/>
  </cols>
  <sheetData>
    <row r="1" customFormat="false" ht="30" hidden="false" customHeight="true" outlineLevel="0" collapsed="false">
      <c r="A1" s="10" t="s">
        <v>335</v>
      </c>
      <c r="B1" s="10"/>
      <c r="C1" s="10"/>
      <c r="D1" s="10"/>
      <c r="E1" s="10"/>
      <c r="F1" s="10"/>
      <c r="G1" s="10"/>
      <c r="H1" s="10"/>
    </row>
    <row r="2" customFormat="false" ht="24" hidden="false" customHeight="true" outlineLevel="0" collapsed="false">
      <c r="A2" s="22"/>
      <c r="B2" s="22"/>
      <c r="C2" s="22"/>
      <c r="D2" s="22"/>
      <c r="E2" s="22"/>
      <c r="F2" s="22"/>
      <c r="G2" s="22"/>
      <c r="H2" s="22"/>
    </row>
    <row r="3" customFormat="false" ht="45" hidden="false" customHeight="true" outlineLevel="0" collapsed="false">
      <c r="A3" s="4" t="s">
        <v>336</v>
      </c>
      <c r="B3" s="4"/>
      <c r="C3" s="4"/>
      <c r="D3" s="4"/>
      <c r="E3" s="4"/>
      <c r="F3" s="4"/>
      <c r="G3" s="4"/>
      <c r="H3" s="4"/>
    </row>
    <row r="4" customFormat="false" ht="45" hidden="false" customHeight="true" outlineLevel="0" collapsed="false">
      <c r="A4" s="3" t="s">
        <v>337</v>
      </c>
      <c r="B4" s="3"/>
      <c r="C4" s="3"/>
      <c r="D4" s="3"/>
      <c r="E4" s="3"/>
      <c r="F4" s="3"/>
      <c r="G4" s="3"/>
      <c r="H4" s="3"/>
    </row>
    <row r="5" customFormat="false" ht="60" hidden="false" customHeight="true" outlineLevel="0" collapsed="false">
      <c r="A5" s="4" t="s">
        <v>338</v>
      </c>
      <c r="B5" s="4"/>
      <c r="C5" s="4"/>
      <c r="D5" s="4"/>
      <c r="E5" s="4"/>
      <c r="F5" s="4"/>
      <c r="G5" s="4"/>
      <c r="H5" s="4"/>
    </row>
    <row r="6" customFormat="false" ht="19.5" hidden="false" customHeight="true" outlineLevel="0" collapsed="false">
      <c r="A6" s="3" t="s">
        <v>339</v>
      </c>
      <c r="B6" s="3"/>
      <c r="C6" s="3"/>
      <c r="D6" s="3"/>
      <c r="E6" s="3"/>
      <c r="F6" s="3"/>
      <c r="G6" s="3"/>
      <c r="H6" s="3"/>
    </row>
    <row r="7" customFormat="false" ht="21.75" hidden="false" customHeight="true" outlineLevel="0" collapsed="false">
      <c r="A7" s="5" t="s">
        <v>131</v>
      </c>
      <c r="B7" s="51" t="s">
        <v>35</v>
      </c>
    </row>
    <row r="8" customFormat="false" ht="60" hidden="false" customHeight="true" outlineLevel="0" collapsed="false">
      <c r="A8" s="12" t="s">
        <v>340</v>
      </c>
      <c r="B8" s="52" t="s">
        <v>341</v>
      </c>
    </row>
    <row r="9" customFormat="false" ht="60" hidden="false" customHeight="true" outlineLevel="0" collapsed="false">
      <c r="A9" s="13" t="s">
        <v>342</v>
      </c>
      <c r="B9" s="52" t="s">
        <v>343</v>
      </c>
    </row>
    <row r="10" customFormat="false" ht="75" hidden="false" customHeight="true" outlineLevel="0" collapsed="false">
      <c r="A10" s="12" t="s">
        <v>344</v>
      </c>
      <c r="B10" s="12" t="s">
        <v>345</v>
      </c>
    </row>
    <row r="11" customFormat="false" ht="60" hidden="false" customHeight="true" outlineLevel="0" collapsed="false">
      <c r="A11" s="13" t="s">
        <v>346</v>
      </c>
      <c r="B11" s="13" t="s">
        <v>347</v>
      </c>
    </row>
    <row r="12" customFormat="false" ht="79.5" hidden="false" customHeight="true" outlineLevel="0" collapsed="false"/>
    <row r="13" customFormat="false" ht="19.5" hidden="false" customHeight="true" outlineLevel="0" collapsed="false">
      <c r="A13" s="4" t="s">
        <v>348</v>
      </c>
      <c r="B13" s="4"/>
      <c r="C13" s="4"/>
      <c r="D13" s="4"/>
      <c r="E13" s="4"/>
      <c r="F13" s="4"/>
      <c r="G13" s="4"/>
      <c r="H13" s="4"/>
    </row>
    <row r="14" customFormat="false" ht="45" hidden="false" customHeight="true" outlineLevel="0" collapsed="false">
      <c r="A14" s="3" t="s">
        <v>349</v>
      </c>
      <c r="B14" s="3"/>
      <c r="C14" s="3"/>
      <c r="D14" s="3"/>
      <c r="E14" s="3"/>
      <c r="F14" s="3"/>
      <c r="G14" s="3"/>
      <c r="H14" s="3"/>
    </row>
    <row r="15" customFormat="false" ht="15" hidden="false" customHeight="true" outlineLevel="0" collapsed="false"/>
    <row r="16" customFormat="false" ht="42" hidden="false" customHeight="true" outlineLevel="0" collapsed="false">
      <c r="A16" s="5" t="s">
        <v>350</v>
      </c>
      <c r="B16" s="5" t="s">
        <v>351</v>
      </c>
      <c r="C16" s="5" t="s">
        <v>352</v>
      </c>
      <c r="D16" s="5" t="s">
        <v>353</v>
      </c>
      <c r="E16" s="5" t="s">
        <v>354</v>
      </c>
      <c r="F16" s="5" t="s">
        <v>355</v>
      </c>
      <c r="G16" s="5" t="s">
        <v>356</v>
      </c>
      <c r="H16" s="5" t="s">
        <v>357</v>
      </c>
      <c r="I16" s="5" t="s">
        <v>358</v>
      </c>
      <c r="J16" s="5" t="s">
        <v>359</v>
      </c>
      <c r="K16" s="5" t="s">
        <v>226</v>
      </c>
      <c r="L16" s="5" t="s">
        <v>360</v>
      </c>
      <c r="M16" s="5" t="s">
        <v>361</v>
      </c>
      <c r="N16" s="5" t="s">
        <v>362</v>
      </c>
      <c r="O16" s="5" t="s">
        <v>363</v>
      </c>
      <c r="P16" s="5" t="s">
        <v>364</v>
      </c>
      <c r="Q16" s="5" t="s">
        <v>365</v>
      </c>
      <c r="R16" s="53" t="s">
        <v>366</v>
      </c>
      <c r="S16" s="5" t="s">
        <v>367</v>
      </c>
      <c r="T16" s="5" t="s">
        <v>368</v>
      </c>
    </row>
    <row r="17" customFormat="false" ht="15" hidden="false" customHeight="true" outlineLevel="0" collapsed="false">
      <c r="A17" s="23" t="s">
        <v>369</v>
      </c>
      <c r="B17" s="24" t="s">
        <v>370</v>
      </c>
      <c r="C17" s="24" t="n">
        <v>12</v>
      </c>
      <c r="D17" s="28" t="n">
        <f aca="false">RANK(I17,$I$17:$I$22,1)</f>
        <v>1</v>
      </c>
      <c r="E17" s="28" t="n">
        <f aca="false">SUMIF($D$17:$D$22,"&lt;="&amp;D17,$C$17:$C$22)</f>
        <v>12</v>
      </c>
      <c r="F17" s="28" t="str">
        <f aca="false">IF(E17&gt;80,"Yes — over ceiling","No")</f>
        <v>No</v>
      </c>
      <c r="G17" s="29" t="s">
        <v>238</v>
      </c>
      <c r="H17" s="23" t="n">
        <f aca="false">VALUE(MID(B17,3,1))</f>
        <v>1</v>
      </c>
      <c r="I17" s="28" t="n">
        <f aca="false">H17+C17/10000</f>
        <v>1.0012</v>
      </c>
      <c r="J17" s="23" t="n">
        <f aca="false">VLOOKUP(B17,$S$17:$T$21,2,FALSE())</f>
        <v>100</v>
      </c>
      <c r="K17" s="25" t="n">
        <f aca="false">IFERROR(J17/C17,0)</f>
        <v>8.33333333333333</v>
      </c>
      <c r="L17" s="28" t="n">
        <f aca="false">RANK(K17,$K$17:$K$22,0)+COUNTIF($K$17:K17,K17)-1</f>
        <v>1</v>
      </c>
      <c r="M17" s="28" t="n">
        <f aca="false">SUMIF($L$17:$L$22,"&lt;="&amp;L17,$C$17:$C$22)</f>
        <v>12</v>
      </c>
      <c r="N17" s="29" t="str">
        <f aca="false">IF(M17&lt;=80,"Y","N")</f>
        <v>Y</v>
      </c>
      <c r="O17" s="30" t="n">
        <f aca="false">RANK(C17,$C$17:$C$22,1)+COUNTIF($C$17:C17,C17)-1</f>
        <v>3</v>
      </c>
      <c r="P17" s="30" t="n">
        <f aca="false">SUMIF($O$17:$O$22,"&lt;="&amp;O17,$C$17:$C$22)</f>
        <v>30</v>
      </c>
      <c r="Q17" s="31" t="str">
        <f aca="false">IF(P17&lt;=80,"Y","N")</f>
        <v>Y</v>
      </c>
      <c r="S17" s="32" t="s">
        <v>370</v>
      </c>
      <c r="T17" s="32" t="n">
        <v>100</v>
      </c>
    </row>
    <row r="18" customFormat="false" ht="15" hidden="false" customHeight="true" outlineLevel="0" collapsed="false">
      <c r="A18" s="23" t="s">
        <v>371</v>
      </c>
      <c r="B18" s="24" t="s">
        <v>370</v>
      </c>
      <c r="C18" s="24" t="n">
        <v>25</v>
      </c>
      <c r="D18" s="26" t="n">
        <f aca="false">RANK(I18,$I$17:$I$22,1)</f>
        <v>2</v>
      </c>
      <c r="E18" s="26" t="n">
        <f aca="false">SUMIF($D$17:$D$22,"&lt;="&amp;D18,$C$17:$C$22)</f>
        <v>37</v>
      </c>
      <c r="F18" s="26" t="str">
        <f aca="false">IF(E18&gt;80,"Yes — over ceiling","No")</f>
        <v>No</v>
      </c>
      <c r="G18" s="29" t="s">
        <v>238</v>
      </c>
      <c r="H18" s="23" t="n">
        <f aca="false">VALUE(MID(B18,3,1))</f>
        <v>1</v>
      </c>
      <c r="I18" s="28" t="n">
        <f aca="false">H18+C18/10000</f>
        <v>1.0025</v>
      </c>
      <c r="J18" s="23" t="n">
        <f aca="false">VLOOKUP(B18,$S$17:$T$21,2,FALSE())</f>
        <v>100</v>
      </c>
      <c r="K18" s="25" t="n">
        <f aca="false">IFERROR(J18/C18,0)</f>
        <v>4</v>
      </c>
      <c r="L18" s="28" t="n">
        <f aca="false">RANK(K18,$K$17:$K$22,0)+COUNTIF($K$17:K18,K18)-1</f>
        <v>5</v>
      </c>
      <c r="M18" s="28" t="n">
        <f aca="false">SUMIF($L$17:$L$22,"&lt;="&amp;L18,$C$17:$C$22)</f>
        <v>73</v>
      </c>
      <c r="N18" s="29" t="str">
        <f aca="false">IF(M18&lt;=80,"Y","N")</f>
        <v>Y</v>
      </c>
      <c r="O18" s="30" t="n">
        <f aca="false">RANK(C18,$C$17:$C$22,1)+COUNTIF($C$17:C18,C18)-1</f>
        <v>6</v>
      </c>
      <c r="P18" s="30" t="n">
        <f aca="false">SUMIF($O$17:$O$22,"&lt;="&amp;O18,$C$17:$C$22)</f>
        <v>95</v>
      </c>
      <c r="Q18" s="31" t="str">
        <f aca="false">IF(P18&lt;=80,"Y","N")</f>
        <v>N</v>
      </c>
      <c r="S18" s="32" t="s">
        <v>372</v>
      </c>
      <c r="T18" s="32" t="n">
        <v>80</v>
      </c>
    </row>
    <row r="19" customFormat="false" ht="15" hidden="false" customHeight="true" outlineLevel="0" collapsed="false">
      <c r="A19" s="23" t="s">
        <v>373</v>
      </c>
      <c r="B19" s="24" t="s">
        <v>372</v>
      </c>
      <c r="C19" s="24" t="n">
        <v>18</v>
      </c>
      <c r="D19" s="28" t="n">
        <f aca="false">RANK(I19,$I$17:$I$22,1)</f>
        <v>3</v>
      </c>
      <c r="E19" s="28" t="n">
        <f aca="false">SUMIF($D$17:$D$22,"&lt;="&amp;D19,$C$17:$C$22)</f>
        <v>55</v>
      </c>
      <c r="F19" s="28" t="str">
        <f aca="false">IF(E19&gt;80,"Yes — over ceiling","No")</f>
        <v>No</v>
      </c>
      <c r="G19" s="29" t="s">
        <v>238</v>
      </c>
      <c r="H19" s="23" t="n">
        <f aca="false">VALUE(MID(B19,3,1))</f>
        <v>2</v>
      </c>
      <c r="I19" s="28" t="n">
        <f aca="false">H19+C19/10000</f>
        <v>2.0018</v>
      </c>
      <c r="J19" s="23" t="n">
        <f aca="false">VLOOKUP(B19,$S$17:$T$21,2,FALSE())</f>
        <v>80</v>
      </c>
      <c r="K19" s="25" t="n">
        <f aca="false">IFERROR(J19/C19,0)</f>
        <v>4.44444444444445</v>
      </c>
      <c r="L19" s="28" t="n">
        <f aca="false">RANK(K19,$K$17:$K$22,0)+COUNTIF($K$17:K19,K19)-1</f>
        <v>4</v>
      </c>
      <c r="M19" s="28" t="n">
        <f aca="false">SUMIF($L$17:$L$22,"&lt;="&amp;L19,$C$17:$C$22)</f>
        <v>48</v>
      </c>
      <c r="N19" s="29" t="str">
        <f aca="false">IF(M19&lt;=80,"Y","N")</f>
        <v>Y</v>
      </c>
      <c r="O19" s="30" t="n">
        <f aca="false">RANK(C19,$C$17:$C$22,1)+COUNTIF($C$17:C19,C19)-1</f>
        <v>4</v>
      </c>
      <c r="P19" s="30" t="n">
        <f aca="false">SUMIF($O$17:$O$22,"&lt;="&amp;O19,$C$17:$C$22)</f>
        <v>48</v>
      </c>
      <c r="Q19" s="31" t="str">
        <f aca="false">IF(P19&lt;=80,"Y","N")</f>
        <v>Y</v>
      </c>
      <c r="S19" s="32" t="s">
        <v>374</v>
      </c>
      <c r="T19" s="32" t="n">
        <v>60</v>
      </c>
    </row>
    <row r="20" customFormat="false" ht="15" hidden="false" customHeight="true" outlineLevel="0" collapsed="false">
      <c r="A20" s="23" t="s">
        <v>375</v>
      </c>
      <c r="B20" s="24" t="s">
        <v>372</v>
      </c>
      <c r="C20" s="24" t="n">
        <v>22</v>
      </c>
      <c r="D20" s="26" t="n">
        <f aca="false">RANK(I20,$I$17:$I$22,1)</f>
        <v>4</v>
      </c>
      <c r="E20" s="26" t="n">
        <f aca="false">SUMIF($D$17:$D$22,"&lt;="&amp;D20,$C$17:$C$22)</f>
        <v>77</v>
      </c>
      <c r="F20" s="26" t="str">
        <f aca="false">IF(E20&gt;80,"Yes — over ceiling","No")</f>
        <v>No</v>
      </c>
      <c r="G20" s="29" t="s">
        <v>238</v>
      </c>
      <c r="H20" s="23" t="n">
        <f aca="false">VALUE(MID(B20,3,1))</f>
        <v>2</v>
      </c>
      <c r="I20" s="28" t="n">
        <f aca="false">H20+C20/10000</f>
        <v>2.0022</v>
      </c>
      <c r="J20" s="23" t="n">
        <f aca="false">VLOOKUP(B20,$S$17:$T$21,2,FALSE())</f>
        <v>80</v>
      </c>
      <c r="K20" s="25" t="n">
        <f aca="false">IFERROR(J20/C20,0)</f>
        <v>3.63636363636364</v>
      </c>
      <c r="L20" s="28" t="n">
        <f aca="false">RANK(K20,$K$17:$K$22,0)+COUNTIF($K$17:K20,K20)-1</f>
        <v>6</v>
      </c>
      <c r="M20" s="28" t="n">
        <f aca="false">SUMIF($L$17:$L$22,"&lt;="&amp;L20,$C$17:$C$22)</f>
        <v>95</v>
      </c>
      <c r="N20" s="29" t="str">
        <f aca="false">IF(M20&lt;=80,"Y","N")</f>
        <v>N</v>
      </c>
      <c r="O20" s="30" t="n">
        <f aca="false">RANK(C20,$C$17:$C$22,1)+COUNTIF($C$17:C20,C20)-1</f>
        <v>5</v>
      </c>
      <c r="P20" s="30" t="n">
        <f aca="false">SUMIF($O$17:$O$22,"&lt;="&amp;O20,$C$17:$C$22)</f>
        <v>70</v>
      </c>
      <c r="Q20" s="31" t="str">
        <f aca="false">IF(P20&lt;=80,"Y","N")</f>
        <v>Y</v>
      </c>
      <c r="S20" s="32" t="s">
        <v>376</v>
      </c>
      <c r="T20" s="32" t="n">
        <v>40</v>
      </c>
    </row>
    <row r="21" customFormat="false" ht="15" hidden="false" customHeight="true" outlineLevel="0" collapsed="false">
      <c r="A21" s="23" t="s">
        <v>377</v>
      </c>
      <c r="B21" s="24" t="s">
        <v>374</v>
      </c>
      <c r="C21" s="24" t="n">
        <v>10</v>
      </c>
      <c r="D21" s="28" t="n">
        <f aca="false">RANK(I21,$I$17:$I$22,1)</f>
        <v>5</v>
      </c>
      <c r="E21" s="28" t="n">
        <f aca="false">SUMIF($D$17:$D$22,"&lt;="&amp;D21,$C$17:$C$22)</f>
        <v>87</v>
      </c>
      <c r="F21" s="28" t="str">
        <f aca="false">IF(E21&gt;80,"Yes — over ceiling","No")</f>
        <v>Yes — over ceiling</v>
      </c>
      <c r="G21" s="29" t="s">
        <v>238</v>
      </c>
      <c r="H21" s="23" t="n">
        <f aca="false">VALUE(MID(B21,3,1))</f>
        <v>3</v>
      </c>
      <c r="I21" s="23" t="n">
        <f aca="false">H21+C21/10000</f>
        <v>3.001</v>
      </c>
      <c r="J21" s="23" t="n">
        <f aca="false">VLOOKUP(B21,$S$17:$T$21,2,FALSE())</f>
        <v>60</v>
      </c>
      <c r="K21" s="25" t="n">
        <f aca="false">IFERROR(J21/C21,0)</f>
        <v>6</v>
      </c>
      <c r="L21" s="28" t="n">
        <f aca="false">RANK(K21,$K$17:$K$22,0)+COUNTIF($K$17:K21,K21)-1</f>
        <v>2</v>
      </c>
      <c r="M21" s="28" t="n">
        <f aca="false">SUMIF($L$17:$L$22,"&lt;="&amp;L21,$C$17:$C$22)</f>
        <v>22</v>
      </c>
      <c r="N21" s="29" t="str">
        <f aca="false">IF(M21&lt;=80,"Y","N")</f>
        <v>Y</v>
      </c>
      <c r="O21" s="30" t="n">
        <f aca="false">RANK(C21,$C$17:$C$22,1)+COUNTIF($C$17:C21,C21)-1</f>
        <v>2</v>
      </c>
      <c r="P21" s="30" t="n">
        <f aca="false">SUMIF($O$17:$O$22,"&lt;="&amp;O21,$C$17:$C$22)</f>
        <v>18</v>
      </c>
      <c r="Q21" s="31" t="str">
        <f aca="false">IF(P21&lt;=80,"Y","N")</f>
        <v>Y</v>
      </c>
      <c r="S21" s="32" t="s">
        <v>378</v>
      </c>
      <c r="T21" s="32" t="n">
        <v>20</v>
      </c>
    </row>
    <row r="22" customFormat="false" ht="15" hidden="false" customHeight="true" outlineLevel="0" collapsed="false">
      <c r="A22" s="23" t="s">
        <v>379</v>
      </c>
      <c r="B22" s="24" t="s">
        <v>376</v>
      </c>
      <c r="C22" s="24" t="n">
        <v>8</v>
      </c>
      <c r="D22" s="28" t="n">
        <f aca="false">RANK(I22,$I$17:$I$22,1)</f>
        <v>6</v>
      </c>
      <c r="E22" s="28" t="n">
        <f aca="false">SUMIF($D$17:$D$22,"&lt;="&amp;D22,$C$17:$C$22)</f>
        <v>95</v>
      </c>
      <c r="F22" s="28" t="str">
        <f aca="false">IF(E22&gt;80,"Yes — over ceiling","No")</f>
        <v>Yes — over ceiling</v>
      </c>
      <c r="G22" s="29" t="s">
        <v>238</v>
      </c>
      <c r="H22" s="23" t="n">
        <f aca="false">VALUE(MID(B22,3,1))</f>
        <v>4</v>
      </c>
      <c r="I22" s="23" t="n">
        <f aca="false">H22+C22/10000</f>
        <v>4.0008</v>
      </c>
      <c r="J22" s="23" t="n">
        <f aca="false">VLOOKUP(B22,$S$17:$T$21,2,FALSE())</f>
        <v>40</v>
      </c>
      <c r="K22" s="25" t="n">
        <f aca="false">IFERROR(J22/C22,0)</f>
        <v>5</v>
      </c>
      <c r="L22" s="28" t="n">
        <f aca="false">RANK(K22,$K$17:$K$22,0)+COUNTIF($K$17:K22,K22)-1</f>
        <v>3</v>
      </c>
      <c r="M22" s="28" t="n">
        <f aca="false">SUMIF($L$17:$L$22,"&lt;="&amp;L22,$C$17:$C$22)</f>
        <v>30</v>
      </c>
      <c r="N22" s="29" t="str">
        <f aca="false">IF(M22&lt;=80,"Y","N")</f>
        <v>Y</v>
      </c>
      <c r="O22" s="30" t="n">
        <f aca="false">RANK(C22,$C$17:$C$22,1)+COUNTIF($C$17:C22,C22)-1</f>
        <v>1</v>
      </c>
      <c r="P22" s="30" t="n">
        <f aca="false">SUMIF($O$17:$O$22,"&lt;="&amp;O22,$C$17:$C$22)</f>
        <v>8</v>
      </c>
      <c r="Q22" s="31" t="str">
        <f aca="false">IF(P22&lt;=80,"Y","N")</f>
        <v>Y</v>
      </c>
    </row>
    <row r="23" customFormat="false" ht="21.75" hidden="false" customHeight="true" outlineLevel="0" collapsed="false">
      <c r="A23" s="54" t="s">
        <v>380</v>
      </c>
      <c r="B23" s="54"/>
      <c r="C23" s="37" t="n">
        <f aca="false">SUM(C17:C22)</f>
        <v>95</v>
      </c>
      <c r="F23" s="39" t="s">
        <v>381</v>
      </c>
    </row>
    <row r="24" customFormat="false" ht="45.75" hidden="false" customHeight="true" outlineLevel="0" collapsed="false"/>
    <row r="25" customFormat="false" ht="54.75" hidden="false" customHeight="true" outlineLevel="0" collapsed="false">
      <c r="A25" s="3" t="s">
        <v>382</v>
      </c>
      <c r="B25" s="3"/>
      <c r="C25" s="3"/>
      <c r="D25" s="3"/>
      <c r="E25" s="3"/>
      <c r="F25" s="3"/>
      <c r="G25" s="3"/>
    </row>
    <row r="26" customFormat="false" ht="15" hidden="false" customHeight="true" outlineLevel="0" collapsed="false"/>
    <row r="27" customFormat="false" ht="45" hidden="false" customHeight="true" outlineLevel="0" collapsed="false">
      <c r="A27" s="3" t="s">
        <v>383</v>
      </c>
      <c r="B27" s="3"/>
      <c r="C27" s="3"/>
      <c r="D27" s="3"/>
      <c r="E27" s="3"/>
      <c r="F27" s="3"/>
      <c r="G27" s="3"/>
    </row>
    <row r="28" customFormat="false" ht="15" hidden="false" customHeight="true" outlineLevel="0" collapsed="false"/>
    <row r="29" customFormat="false" ht="19.5" hidden="false" customHeight="true" outlineLevel="0" collapsed="false">
      <c r="A29" s="4" t="s">
        <v>384</v>
      </c>
      <c r="B29" s="4"/>
      <c r="C29" s="4"/>
      <c r="D29" s="4"/>
      <c r="E29" s="4"/>
      <c r="F29" s="4"/>
      <c r="G29" s="4"/>
      <c r="H29" s="4"/>
      <c r="I29" s="4"/>
      <c r="J29" s="4"/>
      <c r="K29" s="4"/>
      <c r="L29" s="4"/>
      <c r="M29" s="4"/>
      <c r="N29" s="4"/>
      <c r="O29" s="4"/>
      <c r="P29" s="4"/>
      <c r="Q29" s="4"/>
    </row>
    <row r="30" customFormat="false" ht="54.75" hidden="false" customHeight="true" outlineLevel="0" collapsed="false">
      <c r="A30" s="3" t="s">
        <v>385</v>
      </c>
      <c r="B30" s="3"/>
      <c r="C30" s="3"/>
      <c r="D30" s="3"/>
      <c r="E30" s="3"/>
      <c r="F30" s="3"/>
      <c r="G30" s="3"/>
      <c r="H30" s="3"/>
      <c r="I30" s="3"/>
      <c r="J30" s="3"/>
      <c r="K30" s="3"/>
      <c r="L30" s="3"/>
      <c r="M30" s="3"/>
      <c r="N30" s="3"/>
      <c r="O30" s="3"/>
      <c r="P30" s="3"/>
      <c r="Q30" s="3"/>
    </row>
    <row r="31" customFormat="false" ht="30" hidden="false" customHeight="true" outlineLevel="0" collapsed="false">
      <c r="A31" s="5" t="s">
        <v>386</v>
      </c>
      <c r="B31" s="5" t="s">
        <v>387</v>
      </c>
      <c r="C31" s="5" t="s">
        <v>388</v>
      </c>
      <c r="D31" s="5" t="s">
        <v>389</v>
      </c>
      <c r="E31" s="5" t="s">
        <v>390</v>
      </c>
      <c r="F31" s="5" t="s">
        <v>391</v>
      </c>
    </row>
    <row r="32" customFormat="false" ht="42" hidden="false" customHeight="true" outlineLevel="0" collapsed="false">
      <c r="A32" s="27" t="s">
        <v>392</v>
      </c>
      <c r="B32" s="9" t="s">
        <v>393</v>
      </c>
      <c r="C32" s="9" t="s">
        <v>394</v>
      </c>
      <c r="D32" s="26" t="str">
        <f aca="false">SUMPRODUCT(--(F17:F22="No"))&amp;" of 6"</f>
        <v>4 of 6</v>
      </c>
      <c r="E32" s="26" t="n">
        <f aca="false">SUMIF(F17:F22,"No",J17:J22)</f>
        <v>360</v>
      </c>
      <c r="F32" s="9" t="s">
        <v>395</v>
      </c>
    </row>
    <row r="33" customFormat="false" ht="42" hidden="false" customHeight="true" outlineLevel="0" collapsed="false">
      <c r="A33" s="29" t="s">
        <v>396</v>
      </c>
      <c r="B33" s="47" t="s">
        <v>397</v>
      </c>
      <c r="C33" s="47" t="s">
        <v>398</v>
      </c>
      <c r="D33" s="28" t="str">
        <f aca="false">SUMPRODUCT(--(N17:N22="Y"))&amp;" of 6"</f>
        <v>5 of 6</v>
      </c>
      <c r="E33" s="28" t="n">
        <f aca="false">SUMIF(N17:N22,"Y",J17:J22)</f>
        <v>380</v>
      </c>
      <c r="F33" s="47" t="s">
        <v>399</v>
      </c>
    </row>
    <row r="34" customFormat="false" ht="42" hidden="false" customHeight="true" outlineLevel="0" collapsed="false">
      <c r="A34" s="31" t="s">
        <v>400</v>
      </c>
      <c r="B34" s="20" t="s">
        <v>401</v>
      </c>
      <c r="C34" s="20" t="s">
        <v>402</v>
      </c>
      <c r="D34" s="30" t="str">
        <f aca="false">SUMPRODUCT(--(Q17:Q22="Y"))&amp;" of 6"</f>
        <v>5 of 6</v>
      </c>
      <c r="E34" s="30" t="n">
        <f aca="false">SUMIF(Q17:Q22,"Y",J17:J22)</f>
        <v>360</v>
      </c>
      <c r="F34" s="20" t="s">
        <v>403</v>
      </c>
    </row>
    <row r="35" customFormat="false" ht="147" hidden="false" customHeight="true" outlineLevel="0" collapsed="false"/>
    <row r="36" customFormat="false" ht="64.5" hidden="false" customHeight="true" outlineLevel="0" collapsed="false">
      <c r="A36" s="3" t="s">
        <v>404</v>
      </c>
      <c r="B36" s="3"/>
      <c r="C36" s="3"/>
      <c r="D36" s="3"/>
      <c r="E36" s="3"/>
      <c r="F36" s="3"/>
      <c r="G36" s="3"/>
      <c r="H36" s="3"/>
      <c r="I36" s="3"/>
      <c r="J36" s="3"/>
      <c r="K36" s="3"/>
      <c r="L36" s="3"/>
      <c r="M36" s="3"/>
      <c r="N36" s="3"/>
      <c r="O36" s="3"/>
      <c r="P36" s="3"/>
      <c r="Q36" s="3"/>
    </row>
    <row r="37" customFormat="false" ht="15.75" hidden="false" customHeight="true" outlineLevel="0" collapsed="false"/>
    <row r="38" customFormat="false" ht="191.25" hidden="false" customHeight="true" outlineLevel="0" collapsed="false"/>
    <row r="39" customFormat="false" ht="23.25" hidden="false" customHeight="true" outlineLevel="0" collapsed="false"/>
    <row r="40" customFormat="false" ht="23.25" hidden="false" customHeight="true" outlineLevel="0" collapsed="false"/>
    <row r="41" customFormat="false" ht="23.25" hidden="false" customHeight="true" outlineLevel="0" collapsed="false"/>
    <row r="42" customFormat="false" ht="23.25" hidden="false" customHeight="true" outlineLevel="0" collapsed="false"/>
    <row r="44" customFormat="false" ht="292.5" hidden="false" customHeight="true" outlineLevel="0" collapsed="false"/>
  </sheetData>
  <mergeCells count="14">
    <mergeCell ref="A1:H1"/>
    <mergeCell ref="A2:H2"/>
    <mergeCell ref="A3:H3"/>
    <mergeCell ref="A4:H4"/>
    <mergeCell ref="A5:H5"/>
    <mergeCell ref="A6:H6"/>
    <mergeCell ref="A13:H13"/>
    <mergeCell ref="A14:H14"/>
    <mergeCell ref="A23:B23"/>
    <mergeCell ref="A25:G25"/>
    <mergeCell ref="A27:G27"/>
    <mergeCell ref="A29:Q29"/>
    <mergeCell ref="A30:Q30"/>
    <mergeCell ref="A36:Q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3" min="2" style="1" width="45"/>
    <col collapsed="false" customWidth="true" hidden="false" outlineLevel="0" max="4" min="4" style="1" width="65"/>
  </cols>
  <sheetData>
    <row r="1" customFormat="false" ht="30" hidden="false" customHeight="true" outlineLevel="0" collapsed="false">
      <c r="A1" s="10" t="s">
        <v>405</v>
      </c>
      <c r="B1" s="10"/>
      <c r="C1" s="10"/>
      <c r="D1" s="10"/>
      <c r="E1" s="10"/>
      <c r="F1" s="10"/>
      <c r="G1" s="10"/>
      <c r="H1" s="10"/>
    </row>
    <row r="2" customFormat="false" ht="54.75" hidden="false" customHeight="true" outlineLevel="0" collapsed="false">
      <c r="A2" s="17" t="s">
        <v>406</v>
      </c>
      <c r="B2" s="17"/>
      <c r="C2" s="17"/>
      <c r="D2" s="17"/>
      <c r="E2" s="17"/>
      <c r="F2" s="17"/>
      <c r="G2" s="17"/>
      <c r="H2" s="17"/>
    </row>
    <row r="3" customFormat="false" ht="64.5" hidden="false" customHeight="true" outlineLevel="0" collapsed="false">
      <c r="A3" s="22"/>
      <c r="B3" s="22"/>
      <c r="C3" s="22"/>
      <c r="D3" s="22"/>
      <c r="E3" s="22"/>
      <c r="F3" s="22"/>
      <c r="G3" s="22"/>
      <c r="H3" s="22"/>
    </row>
    <row r="4" customFormat="false" ht="19.5" hidden="false" customHeight="true" outlineLevel="0" collapsed="false">
      <c r="A4" s="3" t="s">
        <v>407</v>
      </c>
      <c r="B4" s="3"/>
      <c r="C4" s="3"/>
      <c r="D4" s="3"/>
      <c r="E4" s="3"/>
      <c r="F4" s="3"/>
      <c r="G4" s="3"/>
      <c r="H4" s="3"/>
    </row>
    <row r="5" customFormat="false" ht="49.5" hidden="false" customHeight="true" outlineLevel="0" collapsed="false">
      <c r="A5" s="4" t="s">
        <v>408</v>
      </c>
      <c r="B5" s="4"/>
      <c r="C5" s="4"/>
      <c r="D5" s="4"/>
      <c r="E5" s="4"/>
      <c r="F5" s="4"/>
      <c r="G5" s="4"/>
      <c r="H5" s="4"/>
    </row>
    <row r="6" customFormat="false" ht="24" hidden="false" customHeight="true" outlineLevel="0" collapsed="false">
      <c r="A6" s="52" t="s">
        <v>409</v>
      </c>
    </row>
    <row r="7" customFormat="false" ht="30" hidden="false" customHeight="true" outlineLevel="0" collapsed="false">
      <c r="A7" s="5" t="s">
        <v>86</v>
      </c>
      <c r="B7" s="5" t="s">
        <v>35</v>
      </c>
    </row>
    <row r="8" customFormat="false" ht="45" hidden="false" customHeight="true" outlineLevel="0" collapsed="false">
      <c r="A8" s="47" t="s">
        <v>410</v>
      </c>
      <c r="B8" s="47" t="s">
        <v>411</v>
      </c>
    </row>
    <row r="9" customFormat="false" ht="90" hidden="false" customHeight="true" outlineLevel="0" collapsed="false">
      <c r="A9" s="47" t="s">
        <v>412</v>
      </c>
      <c r="B9" s="47" t="s">
        <v>413</v>
      </c>
    </row>
    <row r="10" customFormat="false" ht="45" hidden="false" customHeight="true" outlineLevel="0" collapsed="false">
      <c r="A10" s="47" t="s">
        <v>414</v>
      </c>
      <c r="B10" s="47" t="s">
        <v>415</v>
      </c>
    </row>
    <row r="11" customFormat="false" ht="23.25" hidden="false" customHeight="true" outlineLevel="0" collapsed="false">
      <c r="A11" s="47" t="s">
        <v>187</v>
      </c>
      <c r="B11" s="47" t="s">
        <v>416</v>
      </c>
    </row>
    <row r="12" customFormat="false" ht="19.5" hidden="false" customHeight="true" outlineLevel="0" collapsed="false">
      <c r="A12" s="22"/>
      <c r="B12" s="22"/>
      <c r="C12" s="22"/>
      <c r="D12" s="22"/>
      <c r="E12" s="22"/>
      <c r="F12" s="22"/>
      <c r="G12" s="22"/>
      <c r="H12" s="22"/>
    </row>
    <row r="13" customFormat="false" ht="24" hidden="false" customHeight="true" outlineLevel="0" collapsed="false">
      <c r="A13" s="52" t="s">
        <v>417</v>
      </c>
    </row>
    <row r="14" customFormat="false" ht="30" hidden="false" customHeight="true" outlineLevel="0" collapsed="false">
      <c r="A14" s="5" t="s">
        <v>418</v>
      </c>
      <c r="B14" s="5" t="s">
        <v>419</v>
      </c>
      <c r="C14" s="5" t="s">
        <v>420</v>
      </c>
      <c r="D14" s="5" t="s">
        <v>421</v>
      </c>
    </row>
    <row r="15" customFormat="false" ht="30" hidden="false" customHeight="true" outlineLevel="0" collapsed="false">
      <c r="A15" s="47" t="s">
        <v>422</v>
      </c>
      <c r="B15" s="47" t="s">
        <v>423</v>
      </c>
      <c r="C15" s="47" t="s">
        <v>424</v>
      </c>
      <c r="D15" s="47" t="s">
        <v>425</v>
      </c>
    </row>
    <row r="16" customFormat="false" ht="45" hidden="false" customHeight="true" outlineLevel="0" collapsed="false">
      <c r="A16" s="47" t="s">
        <v>426</v>
      </c>
      <c r="B16" s="47" t="s">
        <v>427</v>
      </c>
      <c r="C16" s="47" t="s">
        <v>428</v>
      </c>
      <c r="D16" s="47" t="s">
        <v>429</v>
      </c>
    </row>
    <row r="17" customFormat="false" ht="23.25" hidden="false" customHeight="true" outlineLevel="0" collapsed="false">
      <c r="A17" s="47" t="s">
        <v>430</v>
      </c>
      <c r="B17" s="47" t="s">
        <v>431</v>
      </c>
      <c r="C17" s="47" t="s">
        <v>240</v>
      </c>
      <c r="D17" s="47" t="s">
        <v>432</v>
      </c>
    </row>
    <row r="18" customFormat="false" ht="45" hidden="false" customHeight="true" outlineLevel="0" collapsed="false">
      <c r="A18" s="22"/>
      <c r="B18" s="22"/>
      <c r="C18" s="22"/>
      <c r="D18" s="22"/>
      <c r="E18" s="22"/>
      <c r="F18" s="22"/>
      <c r="G18" s="22"/>
      <c r="H18" s="22"/>
    </row>
    <row r="19" customFormat="false" ht="19.5" hidden="false" customHeight="true" outlineLevel="0" collapsed="false">
      <c r="A19" s="3" t="s">
        <v>433</v>
      </c>
      <c r="B19" s="3"/>
      <c r="C19" s="3"/>
      <c r="D19" s="3"/>
      <c r="E19" s="3"/>
      <c r="F19" s="3"/>
      <c r="G19" s="3"/>
      <c r="H19" s="3"/>
    </row>
    <row r="20" customFormat="false" ht="54.75" hidden="false" customHeight="true" outlineLevel="0" collapsed="false">
      <c r="A20" s="4" t="s">
        <v>434</v>
      </c>
      <c r="B20" s="4"/>
      <c r="C20" s="4"/>
      <c r="D20" s="4"/>
      <c r="E20" s="4"/>
      <c r="F20" s="4"/>
      <c r="G20" s="4"/>
      <c r="H20" s="4"/>
    </row>
    <row r="21" customFormat="false" ht="24" hidden="false" customHeight="true" outlineLevel="0" collapsed="false">
      <c r="A21" s="52" t="s">
        <v>435</v>
      </c>
    </row>
    <row r="22" customFormat="false" ht="45" hidden="false" customHeight="true" outlineLevel="0" collapsed="false">
      <c r="A22" s="5" t="s">
        <v>86</v>
      </c>
      <c r="B22" s="5" t="s">
        <v>35</v>
      </c>
    </row>
    <row r="23" customFormat="false" ht="60" hidden="false" customHeight="true" outlineLevel="0" collapsed="false">
      <c r="A23" s="20" t="s">
        <v>410</v>
      </c>
      <c r="B23" s="20" t="s">
        <v>436</v>
      </c>
    </row>
    <row r="24" customFormat="false" ht="75" hidden="false" customHeight="true" outlineLevel="0" collapsed="false">
      <c r="A24" s="20" t="s">
        <v>412</v>
      </c>
      <c r="B24" s="20" t="s">
        <v>437</v>
      </c>
    </row>
    <row r="25" customFormat="false" ht="45" hidden="false" customHeight="true" outlineLevel="0" collapsed="false">
      <c r="A25" s="20" t="s">
        <v>438</v>
      </c>
      <c r="B25" s="20" t="s">
        <v>439</v>
      </c>
    </row>
    <row r="26" customFormat="false" ht="23.25" hidden="false" customHeight="true" outlineLevel="0" collapsed="false">
      <c r="A26" s="20" t="s">
        <v>440</v>
      </c>
      <c r="B26" s="20" t="s">
        <v>441</v>
      </c>
    </row>
    <row r="27" customFormat="false" ht="19.5" hidden="false" customHeight="true" outlineLevel="0" collapsed="false">
      <c r="A27" s="22"/>
      <c r="B27" s="22"/>
      <c r="C27" s="22"/>
      <c r="D27" s="22"/>
      <c r="E27" s="22"/>
      <c r="F27" s="22"/>
      <c r="G27" s="22"/>
      <c r="H27" s="22"/>
    </row>
    <row r="28" customFormat="false" ht="24" hidden="false" customHeight="true" outlineLevel="0" collapsed="false">
      <c r="A28" s="52" t="s">
        <v>442</v>
      </c>
    </row>
    <row r="29" customFormat="false" ht="30" hidden="false" customHeight="true" outlineLevel="0" collapsed="false">
      <c r="A29" s="5" t="s">
        <v>443</v>
      </c>
      <c r="B29" s="5" t="s">
        <v>444</v>
      </c>
      <c r="C29" s="5" t="s">
        <v>445</v>
      </c>
      <c r="D29" s="5" t="s">
        <v>446</v>
      </c>
    </row>
    <row r="30" customFormat="false" ht="15" hidden="false" customHeight="true" outlineLevel="0" collapsed="false">
      <c r="A30" s="20" t="s">
        <v>422</v>
      </c>
      <c r="B30" s="20" t="s">
        <v>447</v>
      </c>
      <c r="C30" s="20" t="s">
        <v>448</v>
      </c>
      <c r="D30" s="20" t="s">
        <v>449</v>
      </c>
    </row>
    <row r="31" customFormat="false" ht="30" hidden="false" customHeight="true" outlineLevel="0" collapsed="false">
      <c r="A31" s="20" t="s">
        <v>426</v>
      </c>
      <c r="B31" s="20" t="s">
        <v>450</v>
      </c>
      <c r="C31" s="20" t="s">
        <v>451</v>
      </c>
      <c r="D31" s="20" t="s">
        <v>452</v>
      </c>
    </row>
    <row r="32" customFormat="false" ht="30" hidden="false" customHeight="true" outlineLevel="0" collapsed="false">
      <c r="A32" s="20" t="s">
        <v>430</v>
      </c>
      <c r="B32" s="20" t="s">
        <v>453</v>
      </c>
      <c r="C32" s="20" t="s">
        <v>454</v>
      </c>
      <c r="D32" s="20" t="s">
        <v>455</v>
      </c>
    </row>
    <row r="33" customFormat="false" ht="15" hidden="false" customHeight="true" outlineLevel="0" collapsed="false">
      <c r="A33" s="20" t="s">
        <v>456</v>
      </c>
      <c r="B33" s="20" t="s">
        <v>457</v>
      </c>
      <c r="C33" s="20" t="s">
        <v>448</v>
      </c>
      <c r="D33" s="20" t="s">
        <v>458</v>
      </c>
    </row>
    <row r="34" customFormat="false" ht="45" hidden="false" customHeight="true" outlineLevel="0" collapsed="false">
      <c r="A34" s="22"/>
      <c r="B34" s="22"/>
      <c r="C34" s="22"/>
      <c r="D34" s="22"/>
      <c r="E34" s="22"/>
      <c r="F34" s="22"/>
      <c r="G34" s="22"/>
      <c r="H34" s="22"/>
    </row>
    <row r="35" customFormat="false" ht="19.5" hidden="false" customHeight="true" outlineLevel="0" collapsed="false">
      <c r="A35" s="3" t="s">
        <v>459</v>
      </c>
      <c r="B35" s="3"/>
      <c r="C35" s="3"/>
      <c r="D35" s="3"/>
      <c r="E35" s="3"/>
      <c r="F35" s="3"/>
      <c r="G35" s="3"/>
      <c r="H35" s="3"/>
    </row>
    <row r="36" customFormat="false" ht="24" hidden="false" customHeight="true" outlineLevel="0" collapsed="false">
      <c r="A36" s="55" t="s">
        <v>460</v>
      </c>
    </row>
    <row r="37" customFormat="false" ht="30" hidden="false" customHeight="true" outlineLevel="0" collapsed="false">
      <c r="A37" s="5" t="s">
        <v>461</v>
      </c>
      <c r="B37" s="5" t="s">
        <v>462</v>
      </c>
      <c r="C37" s="5" t="s">
        <v>463</v>
      </c>
    </row>
    <row r="38" customFormat="false" ht="30" hidden="false" customHeight="true" outlineLevel="0" collapsed="false">
      <c r="A38" s="12" t="s">
        <v>464</v>
      </c>
      <c r="B38" s="12" t="s">
        <v>465</v>
      </c>
      <c r="C38" s="12" t="s">
        <v>466</v>
      </c>
    </row>
    <row r="39" customFormat="false" ht="30" hidden="false" customHeight="true" outlineLevel="0" collapsed="false">
      <c r="A39" s="13" t="s">
        <v>467</v>
      </c>
      <c r="B39" s="13" t="s">
        <v>468</v>
      </c>
      <c r="C39" s="13" t="s">
        <v>469</v>
      </c>
    </row>
    <row r="40" customFormat="false" ht="30" hidden="false" customHeight="true" outlineLevel="0" collapsed="false">
      <c r="A40" s="12" t="s">
        <v>470</v>
      </c>
      <c r="B40" s="12" t="s">
        <v>471</v>
      </c>
      <c r="C40" s="12" t="s">
        <v>472</v>
      </c>
    </row>
    <row r="41" customFormat="false" ht="30" hidden="false" customHeight="true" outlineLevel="0" collapsed="false">
      <c r="A41" s="13" t="s">
        <v>473</v>
      </c>
      <c r="B41" s="13" t="s">
        <v>474</v>
      </c>
      <c r="C41" s="13" t="s">
        <v>475</v>
      </c>
    </row>
    <row r="42" customFormat="false" ht="23.25" hidden="false" customHeight="true" outlineLevel="0" collapsed="false">
      <c r="A42" s="12" t="s">
        <v>476</v>
      </c>
      <c r="B42" s="12" t="s">
        <v>477</v>
      </c>
      <c r="C42" s="12" t="s">
        <v>478</v>
      </c>
    </row>
    <row r="43" customFormat="false" ht="49.5" hidden="false" customHeight="true" outlineLevel="0" collapsed="false">
      <c r="A43" s="22"/>
      <c r="B43" s="22"/>
      <c r="C43" s="22"/>
      <c r="D43" s="22"/>
      <c r="E43" s="22"/>
      <c r="F43" s="22"/>
      <c r="G43" s="22"/>
      <c r="H43" s="22"/>
    </row>
    <row r="44" customFormat="false" ht="102" hidden="false" customHeight="true" outlineLevel="0" collapsed="false">
      <c r="A44" s="52" t="s">
        <v>479</v>
      </c>
    </row>
  </sheetData>
  <mergeCells count="13">
    <mergeCell ref="A1:H1"/>
    <mergeCell ref="A2:H2"/>
    <mergeCell ref="A3:H3"/>
    <mergeCell ref="A4:H4"/>
    <mergeCell ref="A5:H5"/>
    <mergeCell ref="A12:H12"/>
    <mergeCell ref="A18:H18"/>
    <mergeCell ref="A19:H19"/>
    <mergeCell ref="A20:H20"/>
    <mergeCell ref="A27:H27"/>
    <mergeCell ref="A34:H34"/>
    <mergeCell ref="A35:H35"/>
    <mergeCell ref="A43:H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2026-08-25T08:27:49Z</dcterms:created>
  <dc:creator>openpyxl</dc:creator>
  <dc:description/>
  <dc:language>en-US</dc:language>
  <cp:lastModifiedBy/>
  <dcterms:modified xsi:type="dcterms:W3CDTF">2026-09-06T15:17:09Z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